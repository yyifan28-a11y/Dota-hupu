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00" firstSheet="45" activeTab="52"/>
  </bookViews>
  <sheets>
    <sheet name="选手工资" sheetId="3" r:id="rId1"/>
    <sheet name="260505-1" sheetId="1" state="hidden" r:id="rId2"/>
    <sheet name="260505-2" sheetId="2" state="hidden" r:id="rId3"/>
    <sheet name="260506-1" sheetId="4" state="hidden" r:id="rId4"/>
    <sheet name="260506-2" sheetId="5" state="hidden" r:id="rId5"/>
    <sheet name="260506-3" sheetId="6" state="hidden" r:id="rId6"/>
    <sheet name="260506-4" sheetId="7" state="hidden" r:id="rId7"/>
    <sheet name="260507-1" sheetId="8" state="hidden" r:id="rId8"/>
    <sheet name="260507-2" sheetId="9" state="hidden" r:id="rId9"/>
    <sheet name="260507-3" sheetId="10" state="hidden" r:id="rId10"/>
    <sheet name="260508-1" sheetId="11" state="hidden" r:id="rId11"/>
    <sheet name="260508-2" sheetId="12" state="hidden" r:id="rId12"/>
    <sheet name="260508-3" sheetId="13" state="hidden" r:id="rId13"/>
    <sheet name="260509-1" sheetId="14" state="hidden" r:id="rId14"/>
    <sheet name="260509-2" sheetId="15" state="hidden" r:id="rId15"/>
    <sheet name="260509-3" sheetId="16" state="hidden" r:id="rId16"/>
    <sheet name="260510-1" sheetId="17" state="hidden" r:id="rId17"/>
    <sheet name="260510-2" sheetId="18" state="hidden" r:id="rId18"/>
    <sheet name="260510-3" sheetId="19" state="hidden" r:id="rId19"/>
    <sheet name="260511-1" sheetId="20" state="hidden" r:id="rId20"/>
    <sheet name="260511-2" sheetId="21" state="hidden" r:id="rId21"/>
    <sheet name="260511-3" sheetId="22" state="hidden" r:id="rId22"/>
    <sheet name="260511-4" sheetId="24" state="hidden" r:id="rId23"/>
    <sheet name="260512-1" sheetId="25" state="hidden" r:id="rId24"/>
    <sheet name="260512-2" sheetId="26" state="hidden" r:id="rId25"/>
    <sheet name="260512-3" sheetId="27" state="hidden" r:id="rId26"/>
    <sheet name="260512-4" sheetId="28" state="hidden" r:id="rId27"/>
    <sheet name="260512-5" sheetId="29" state="hidden" r:id="rId28"/>
    <sheet name="260513-1" sheetId="30" state="hidden" r:id="rId29"/>
    <sheet name="260513-2" sheetId="31" state="hidden" r:id="rId30"/>
    <sheet name="260513-3" sheetId="32" state="hidden" r:id="rId31"/>
    <sheet name="260513-4" sheetId="33" state="hidden" r:id="rId32"/>
    <sheet name="260514-1" sheetId="34" state="hidden" r:id="rId33"/>
    <sheet name="260514-2" sheetId="35" state="hidden" r:id="rId34"/>
    <sheet name="260514-3" sheetId="36" state="hidden" r:id="rId35"/>
    <sheet name="260514-4" sheetId="37" state="hidden" r:id="rId36"/>
    <sheet name="260515-1" sheetId="38" state="hidden" r:id="rId37"/>
    <sheet name="250515-2" sheetId="39" state="hidden" r:id="rId38"/>
    <sheet name="250515-3" sheetId="40" state="hidden" r:id="rId39"/>
    <sheet name="250515-4" sheetId="41" state="hidden" r:id="rId40"/>
    <sheet name="260515-5" sheetId="42" state="hidden" r:id="rId41"/>
    <sheet name="260516-1" sheetId="43" state="hidden" r:id="rId42"/>
    <sheet name="260516-2" sheetId="44" state="hidden" r:id="rId43"/>
    <sheet name="260516-3" sheetId="45" state="hidden" r:id="rId44"/>
    <sheet name="260516-4" sheetId="46" state="hidden" r:id="rId45"/>
    <sheet name="260517-1" sheetId="48" r:id="rId46"/>
    <sheet name="260517-2" sheetId="49" r:id="rId47"/>
    <sheet name="260517-3" sheetId="50" r:id="rId48"/>
    <sheet name="260517-4" sheetId="52" r:id="rId49"/>
    <sheet name="260519-1" sheetId="53" r:id="rId50"/>
    <sheet name="260519-2" sheetId="54" r:id="rId51"/>
    <sheet name="260519-3" sheetId="55" r:id="rId52"/>
    <sheet name="260519-4" sheetId="56" r:id="rId53"/>
  </sheets>
  <definedNames>
    <definedName name="_xlnm._FilterDatabase" localSheetId="36" hidden="1">'260515-1'!$A$1:$AI$11</definedName>
    <definedName name="_xlnm._FilterDatabase" localSheetId="37">'250515-2'!$A$1:$AI$11</definedName>
    <definedName name="_xlnm._FilterDatabase" localSheetId="38">'250515-3'!$A$1:$AI$11</definedName>
    <definedName name="_xlnm._FilterDatabase" localSheetId="39">'250515-4'!$A$1:$AI$11</definedName>
    <definedName name="_xlnm._FilterDatabase" localSheetId="40">'260515-5'!$A$1:$AI$11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<sst xmlns="http://schemas.openxmlformats.org/spreadsheetml/2006/main" count="4098" uniqueCount="242">
  <si>
    <t>选手</t>
  </si>
  <si>
    <t>初始工资</t>
  </si>
  <si>
    <t>0507</t>
  </si>
  <si>
    <t>0508</t>
  </si>
  <si>
    <t>0509</t>
  </si>
  <si>
    <t>0510</t>
  </si>
  <si>
    <t>0511</t>
  </si>
  <si>
    <t>0512</t>
  </si>
  <si>
    <t>0514</t>
  </si>
  <si>
    <t>0515</t>
  </si>
  <si>
    <t>0516建议</t>
  </si>
  <si>
    <t>0517</t>
  </si>
  <si>
    <t>0518</t>
  </si>
  <si>
    <t>xian</t>
  </si>
  <si>
    <t>马忠</t>
  </si>
  <si>
    <t>郝哥</t>
  </si>
  <si>
    <t>白给</t>
  </si>
  <si>
    <t>小孩</t>
  </si>
  <si>
    <t>机器人</t>
  </si>
  <si>
    <t>D</t>
  </si>
  <si>
    <t>博洋</t>
  </si>
  <si>
    <t>关羽</t>
  </si>
  <si>
    <t>老虎</t>
  </si>
  <si>
    <t>jin</t>
  </si>
  <si>
    <t>猪猪</t>
  </si>
  <si>
    <t>valar</t>
  </si>
  <si>
    <t>zjw</t>
  </si>
  <si>
    <t>cac</t>
  </si>
  <si>
    <t>教练</t>
  </si>
  <si>
    <t>机器猫</t>
  </si>
  <si>
    <t>ldxy</t>
  </si>
  <si>
    <t>阵容</t>
  </si>
  <si>
    <t>老板</t>
  </si>
  <si>
    <t>呆叔</t>
  </si>
  <si>
    <t>坤坤</t>
  </si>
  <si>
    <t>odst</t>
  </si>
  <si>
    <t>记者</t>
  </si>
  <si>
    <t>好人</t>
  </si>
  <si>
    <t>xinq</t>
  </si>
  <si>
    <t>胖蟹</t>
  </si>
  <si>
    <t>之后</t>
  </si>
  <si>
    <t>小队</t>
  </si>
  <si>
    <t>老王</t>
  </si>
  <si>
    <t>小刘</t>
  </si>
  <si>
    <t>日期</t>
  </si>
  <si>
    <t>场次</t>
  </si>
  <si>
    <t>阵营</t>
  </si>
  <si>
    <t>结果</t>
  </si>
  <si>
    <t>队伍击杀</t>
  </si>
  <si>
    <t>选手工资</t>
  </si>
  <si>
    <t>英雄</t>
  </si>
  <si>
    <t>位置</t>
  </si>
  <si>
    <t>等级</t>
  </si>
  <si>
    <t>K</t>
  </si>
  <si>
    <t>A</t>
  </si>
  <si>
    <t>参战率</t>
  </si>
  <si>
    <t>输出占比</t>
  </si>
  <si>
    <t>财产</t>
  </si>
  <si>
    <t>正补</t>
  </si>
  <si>
    <t>反补</t>
  </si>
  <si>
    <t>GPM</t>
  </si>
  <si>
    <t>XPM</t>
  </si>
  <si>
    <t>赏金神符</t>
  </si>
  <si>
    <t>治疗</t>
  </si>
  <si>
    <t>英雄伤害</t>
  </si>
  <si>
    <t>建筑伤害</t>
  </si>
  <si>
    <t>承伤减免前</t>
  </si>
  <si>
    <t>伤害减免比例</t>
  </si>
  <si>
    <t>死亡损失金钱</t>
  </si>
  <si>
    <t>死亡时间</t>
  </si>
  <si>
    <t>挑选顺位</t>
  </si>
  <si>
    <t>10分钟财产</t>
  </si>
  <si>
    <t>10分钟等级</t>
  </si>
  <si>
    <t>辅助道具金钱</t>
  </si>
  <si>
    <t>堆野数</t>
  </si>
  <si>
    <t>反眼数</t>
  </si>
  <si>
    <t>夜魇</t>
  </si>
  <si>
    <t>胜</t>
  </si>
  <si>
    <t>帕克</t>
  </si>
  <si>
    <t>沉默术士</t>
  </si>
  <si>
    <t>破晓辰星</t>
  </si>
  <si>
    <t>编织者</t>
  </si>
  <si>
    <t>小小</t>
  </si>
  <si>
    <t>天辉</t>
  </si>
  <si>
    <t>负</t>
  </si>
  <si>
    <t>虚无之灵</t>
  </si>
  <si>
    <t>德鲁伊</t>
  </si>
  <si>
    <t>全能骑士</t>
  </si>
  <si>
    <t>电炎绝手</t>
  </si>
  <si>
    <t>司夜刺客</t>
  </si>
  <si>
    <t>比赛ID</t>
  </si>
  <si>
    <t>比赛时长</t>
  </si>
  <si>
    <t>51：45</t>
  </si>
  <si>
    <t>主宰</t>
  </si>
  <si>
    <t>干扰者</t>
  </si>
  <si>
    <t>森海飞霞</t>
  </si>
  <si>
    <t>瘟疫法师</t>
  </si>
  <si>
    <t>潮汐猎人</t>
  </si>
  <si>
    <t>莱恩</t>
  </si>
  <si>
    <t>41：31</t>
  </si>
  <si>
    <t>前哨</t>
  </si>
  <si>
    <t>沙王</t>
  </si>
  <si>
    <t>莉娜</t>
  </si>
  <si>
    <t>灰烬之灵</t>
  </si>
  <si>
    <t>钢背兽</t>
  </si>
  <si>
    <t>冥魂大帝</t>
  </si>
  <si>
    <t>天涯墨客</t>
  </si>
  <si>
    <t>暗影恶魔</t>
  </si>
  <si>
    <t>31:18</t>
  </si>
  <si>
    <t>兽王</t>
  </si>
  <si>
    <t>幽鬼</t>
  </si>
  <si>
    <t>齐天大圣</t>
  </si>
  <si>
    <t>邪影芳灵</t>
  </si>
  <si>
    <t>31:00</t>
  </si>
  <si>
    <t>蝙蝠骑士</t>
  </si>
  <si>
    <t>祈求者</t>
  </si>
  <si>
    <t>28:38</t>
  </si>
  <si>
    <t>痛苦女王</t>
  </si>
  <si>
    <t>虚空假面</t>
  </si>
  <si>
    <t>食人魔魔法师</t>
  </si>
  <si>
    <t>魅惑魔女</t>
  </si>
  <si>
    <t>杰奇洛</t>
  </si>
  <si>
    <t>56:25</t>
  </si>
  <si>
    <t>祸乱之源</t>
  </si>
  <si>
    <t>撼地者</t>
  </si>
  <si>
    <t>凯</t>
  </si>
  <si>
    <t>裂魂人</t>
  </si>
  <si>
    <t>36:07</t>
  </si>
  <si>
    <t>米拉娜</t>
  </si>
  <si>
    <t>伐木机</t>
  </si>
  <si>
    <t>复仇之魂</t>
  </si>
  <si>
    <t>树精卫士</t>
  </si>
  <si>
    <t>炼金术士</t>
  </si>
  <si>
    <t>工程师</t>
  </si>
  <si>
    <t>59:13</t>
  </si>
  <si>
    <t>朗戈</t>
  </si>
  <si>
    <t>斯拉克</t>
  </si>
  <si>
    <t>不朽尸王</t>
  </si>
  <si>
    <t>32:39</t>
  </si>
  <si>
    <t>露娜</t>
  </si>
  <si>
    <t>水晶室女</t>
  </si>
  <si>
    <t>拉比克</t>
  </si>
  <si>
    <t>35:19</t>
  </si>
  <si>
    <t>石鳞剑士</t>
  </si>
  <si>
    <t>宙斯</t>
  </si>
  <si>
    <t>暗夜魔王</t>
  </si>
  <si>
    <t>风行者</t>
  </si>
  <si>
    <t>58:44</t>
  </si>
  <si>
    <t>昆卡</t>
  </si>
  <si>
    <t>斯拉达</t>
  </si>
  <si>
    <t>冥界亚龙</t>
  </si>
  <si>
    <t>56:51</t>
  </si>
  <si>
    <t>斧王</t>
  </si>
  <si>
    <t>暗影萨满</t>
  </si>
  <si>
    <t>50:13</t>
  </si>
  <si>
    <t>艾欧</t>
  </si>
  <si>
    <t>琼英碧灵</t>
  </si>
  <si>
    <t>克林克兹</t>
  </si>
  <si>
    <t>远古冰魄</t>
  </si>
  <si>
    <t>巨牙海民</t>
  </si>
  <si>
    <t>47:14</t>
  </si>
  <si>
    <t>幻影刺客</t>
  </si>
  <si>
    <t>56:21</t>
  </si>
  <si>
    <t>兽</t>
  </si>
  <si>
    <t>力丸</t>
  </si>
  <si>
    <t>帕格纳</t>
  </si>
  <si>
    <t>30:10</t>
  </si>
  <si>
    <t>巫医</t>
  </si>
  <si>
    <t>剧毒术士</t>
  </si>
  <si>
    <t>巫妖</t>
  </si>
  <si>
    <t>发条技师</t>
  </si>
  <si>
    <t>34:09</t>
  </si>
  <si>
    <t>玛尔斯</t>
  </si>
  <si>
    <t>哈斯卡</t>
  </si>
  <si>
    <t>幻影长矛手</t>
  </si>
  <si>
    <t>矮人直升机</t>
  </si>
  <si>
    <t>敌法师</t>
  </si>
  <si>
    <t>孽主</t>
  </si>
  <si>
    <t>光之守卫</t>
  </si>
  <si>
    <t>35:26</t>
  </si>
  <si>
    <t>帕吉</t>
  </si>
  <si>
    <t>34:23</t>
  </si>
  <si>
    <t>狼人</t>
  </si>
  <si>
    <t>混沌骑士</t>
  </si>
  <si>
    <t>术士</t>
  </si>
  <si>
    <t>47:59</t>
  </si>
  <si>
    <t>寒冬飞龙</t>
  </si>
  <si>
    <t>39:34</t>
  </si>
  <si>
    <t>45:28</t>
  </si>
  <si>
    <t>天怒法师</t>
  </si>
  <si>
    <t>32:00</t>
  </si>
  <si>
    <t>酒仙</t>
  </si>
  <si>
    <t>风暴之灵</t>
  </si>
  <si>
    <t>36:53</t>
  </si>
  <si>
    <t>19:29</t>
  </si>
  <si>
    <t>恐怖利刃</t>
  </si>
  <si>
    <t>马格纳斯</t>
  </si>
  <si>
    <t>33:48</t>
  </si>
  <si>
    <t>拉席克</t>
  </si>
  <si>
    <t>24:59</t>
  </si>
  <si>
    <t>50:29</t>
  </si>
  <si>
    <t>41:56</t>
  </si>
  <si>
    <t>死亡先知</t>
  </si>
  <si>
    <t>37:23</t>
  </si>
  <si>
    <t>卓尔游侠</t>
  </si>
  <si>
    <t>亚巴顿</t>
  </si>
  <si>
    <t>黑暗贤者</t>
  </si>
  <si>
    <t>37:24</t>
  </si>
  <si>
    <t>噬魂鬼</t>
  </si>
  <si>
    <t>36:11</t>
  </si>
  <si>
    <t>巨魔战将</t>
  </si>
  <si>
    <t>玛西</t>
  </si>
  <si>
    <t>48:32</t>
  </si>
  <si>
    <t>33:56</t>
  </si>
  <si>
    <t>36:59</t>
  </si>
  <si>
    <t>龙骑士</t>
  </si>
  <si>
    <t>36:48</t>
  </si>
  <si>
    <t>35:55</t>
  </si>
  <si>
    <t>美杜莎</t>
  </si>
  <si>
    <t>34:02</t>
  </si>
  <si>
    <t>自然先知</t>
  </si>
  <si>
    <t>46:07</t>
  </si>
  <si>
    <t>熊战士</t>
  </si>
  <si>
    <t>59:46</t>
  </si>
  <si>
    <t>21:59</t>
  </si>
  <si>
    <t>工资</t>
  </si>
  <si>
    <t>最终等级</t>
  </si>
  <si>
    <t>最终经济</t>
  </si>
  <si>
    <t>击杀</t>
  </si>
  <si>
    <t>死亡</t>
  </si>
  <si>
    <t>助攻</t>
  </si>
  <si>
    <t>28:34</t>
  </si>
  <si>
    <t>49:07</t>
  </si>
  <si>
    <t>26:08</t>
  </si>
  <si>
    <t>血魔</t>
  </si>
  <si>
    <t>21:25</t>
  </si>
  <si>
    <t>百戏大王</t>
  </si>
  <si>
    <t>20:37</t>
  </si>
  <si>
    <t>41:33</t>
  </si>
  <si>
    <t>44:54</t>
  </si>
  <si>
    <t>狙击手</t>
  </si>
  <si>
    <t>23:50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</si>
</sst>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1"/>
      <name val="Carlito"/>
      <charset val="134"/>
    </font>
    <font>
      <sz val="10"/>
      <color rgb="FFFFFFFF"/>
      <name val="PingFang SC Regular"/>
      <charset val="134"/>
    </font>
    <font>
      <b/>
      <sz val="11"/>
      <color rgb="FFFFFFFF"/>
      <name val="Carlito"/>
      <charset val="134"/>
    </font>
    <font>
      <b/>
      <sz val="10"/>
      <color rgb="FFFFFFFF"/>
      <name val="Microsoft YaHei"/>
      <charset val="134"/>
    </font>
    <font>
      <b/>
      <sz val="11"/>
      <color rgb="FFFFFFFF"/>
      <name val="Calibri"/>
      <charset val="134"/>
    </font>
    <font>
      <sz val="11"/>
      <color rgb="FF000000"/>
      <name val="PingFang SC Regular"/>
      <charset val="134"/>
    </font>
    <font>
      <sz val="11"/>
      <color theme="0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2F7F7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3" fillId="0" borderId="0"/>
  </cellStyleXfs>
  <cellXfs count="19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49"/>
    <xf numFmtId="0" fontId="4" fillId="2" borderId="1" xfId="0" applyFont="1" applyFill="1" applyBorder="1" applyAlignment="1">
      <alignment horizontal="center" vertical="center" wrapText="1"/>
    </xf>
    <xf numFmtId="0" fontId="5" fillId="3" borderId="0" xfId="49" applyFont="1" applyFill="1" applyAlignment="1">
      <alignment horizontal="center" vertical="center" wrapText="1"/>
    </xf>
    <xf numFmtId="0" fontId="6" fillId="3" borderId="0" xfId="49" applyFont="1" applyFill="1" applyAlignment="1">
      <alignment horizontal="center" vertical="center" wrapText="1"/>
    </xf>
    <xf numFmtId="0" fontId="5" fillId="4" borderId="0" xfId="49" applyFont="1" applyFill="1" applyAlignment="1">
      <alignment horizontal="center" vertical="center" wrapText="1"/>
    </xf>
    <xf numFmtId="0" fontId="7" fillId="5" borderId="0" xfId="49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3" borderId="0" xfId="49" applyFont="1" applyFill="1" applyAlignment="1" quotePrefix="1">
      <alignment horizontal="center" vertical="center" wrapText="1"/>
    </xf>
    <xf numFmtId="0" fontId="6" fillId="3" borderId="0" xfId="49" applyFont="1" applyFill="1" applyAlignment="1" quotePrefix="1">
      <alignment horizontal="center" vertical="center" wrapText="1"/>
    </xf>
    <xf numFmtId="0" fontId="5" fillId="4" borderId="0" xfId="49" applyFont="1" applyFill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6" Type="http://schemas.openxmlformats.org/officeDocument/2006/relationships/styles" Target="styles.xml"/><Relationship Id="rId55" Type="http://schemas.openxmlformats.org/officeDocument/2006/relationships/sharedStrings" Target="sharedStrings.xml"/><Relationship Id="rId54" Type="http://schemas.openxmlformats.org/officeDocument/2006/relationships/theme" Target="theme/theme1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workbookViewId="0">
      <pane xSplit="1" topLeftCell="B1" activePane="topRight" state="frozen"/>
      <selection/>
      <selection pane="topRight" activeCell="A19" sqref="A19:M19"/>
    </sheetView>
  </sheetViews>
  <sheetFormatPr defaultColWidth="9.25" defaultRowHeight="16.8"/>
  <cols>
    <col min="1" max="1" width="13" style="8" customWidth="1"/>
    <col min="2" max="2" width="10.25" style="9" customWidth="1"/>
    <col min="3" max="3" width="16.25" style="9" customWidth="1"/>
    <col min="4" max="5" width="16.375" style="9" customWidth="1"/>
    <col min="6" max="6" width="15.875" style="9" customWidth="1"/>
    <col min="7" max="7" width="13.125" style="10" customWidth="1"/>
    <col min="8" max="8" width="15.5" customWidth="1"/>
    <col min="9" max="9" width="13.5" customWidth="1"/>
    <col min="10" max="10" width="13.125" style="10" customWidth="1"/>
    <col min="11" max="11" width="13.1346153846154" style="9" customWidth="1"/>
    <col min="12" max="16384" width="9.25" style="9"/>
  </cols>
  <sheetData>
    <row r="1" ht="17" spans="1:13">
      <c r="A1" s="11" t="s">
        <v>0</v>
      </c>
      <c r="B1" s="12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15" t="s">
        <v>10</v>
      </c>
      <c r="L1" s="21" t="s">
        <v>11</v>
      </c>
      <c r="M1" s="21" t="s">
        <v>12</v>
      </c>
    </row>
    <row r="2" spans="1:13">
      <c r="A2" s="11" t="s">
        <v>13</v>
      </c>
      <c r="B2" s="16">
        <v>7.5</v>
      </c>
      <c r="C2" s="16">
        <v>10.5</v>
      </c>
      <c r="D2" s="17">
        <v>10.5</v>
      </c>
      <c r="E2" s="16">
        <v>10.5</v>
      </c>
      <c r="F2" s="16">
        <v>10.5</v>
      </c>
      <c r="G2" s="16">
        <v>10.5</v>
      </c>
      <c r="H2" s="16">
        <v>11</v>
      </c>
      <c r="I2" s="16">
        <v>11</v>
      </c>
      <c r="J2" s="16">
        <v>10.5</v>
      </c>
      <c r="K2" s="16">
        <v>10</v>
      </c>
      <c r="L2" s="16">
        <v>10.5</v>
      </c>
      <c r="M2" s="16">
        <v>11</v>
      </c>
    </row>
    <row r="3" spans="1:13">
      <c r="A3" s="11" t="s">
        <v>14</v>
      </c>
      <c r="B3" s="16">
        <v>8</v>
      </c>
      <c r="C3" s="16">
        <v>8.5</v>
      </c>
      <c r="D3" s="17">
        <v>8</v>
      </c>
      <c r="E3" s="16">
        <v>8</v>
      </c>
      <c r="F3" s="16">
        <v>8</v>
      </c>
      <c r="G3" s="16">
        <v>8.5</v>
      </c>
      <c r="H3" s="16">
        <v>8.5</v>
      </c>
      <c r="I3" s="16">
        <v>9</v>
      </c>
      <c r="J3" s="16">
        <v>9.5</v>
      </c>
      <c r="K3" s="16">
        <v>9.5</v>
      </c>
      <c r="L3" s="16">
        <v>9.5</v>
      </c>
      <c r="M3" s="16">
        <v>9.5</v>
      </c>
    </row>
    <row r="4" spans="1:13">
      <c r="A4" s="11" t="s">
        <v>15</v>
      </c>
      <c r="B4" s="16">
        <v>7.5</v>
      </c>
      <c r="C4" s="16">
        <v>7.5</v>
      </c>
      <c r="D4" s="17">
        <v>8.5</v>
      </c>
      <c r="E4" s="16">
        <v>9.5</v>
      </c>
      <c r="F4" s="16">
        <v>9.5</v>
      </c>
      <c r="G4" s="16">
        <v>9.5</v>
      </c>
      <c r="H4" s="16">
        <v>9.5</v>
      </c>
      <c r="I4" s="16">
        <v>8.5</v>
      </c>
      <c r="J4" s="16">
        <v>8.5</v>
      </c>
      <c r="K4" s="16">
        <v>8</v>
      </c>
      <c r="L4" s="16">
        <v>8</v>
      </c>
      <c r="M4" s="16">
        <v>8</v>
      </c>
    </row>
    <row r="5" spans="1:13">
      <c r="A5" s="11" t="s">
        <v>16</v>
      </c>
      <c r="B5" s="16">
        <v>7</v>
      </c>
      <c r="C5" s="16">
        <v>7</v>
      </c>
      <c r="D5" s="17">
        <v>7</v>
      </c>
      <c r="E5" s="16">
        <v>7</v>
      </c>
      <c r="F5" s="16">
        <v>7</v>
      </c>
      <c r="G5" s="16">
        <v>7</v>
      </c>
      <c r="H5" s="16">
        <v>8</v>
      </c>
      <c r="I5" s="16">
        <v>8</v>
      </c>
      <c r="J5" s="16">
        <v>8</v>
      </c>
      <c r="K5" s="16">
        <v>8</v>
      </c>
      <c r="L5" s="16">
        <v>8</v>
      </c>
      <c r="M5" s="16">
        <v>8</v>
      </c>
    </row>
    <row r="6" spans="1:13">
      <c r="A6" s="11" t="s">
        <v>17</v>
      </c>
      <c r="B6" s="16">
        <v>6</v>
      </c>
      <c r="C6" s="16">
        <v>5.5</v>
      </c>
      <c r="D6" s="17">
        <v>7</v>
      </c>
      <c r="E6" s="16">
        <v>8</v>
      </c>
      <c r="F6" s="16">
        <v>7.5</v>
      </c>
      <c r="G6" s="16">
        <v>7.5</v>
      </c>
      <c r="H6" s="16">
        <v>7</v>
      </c>
      <c r="I6" s="16">
        <v>7</v>
      </c>
      <c r="J6" s="16">
        <v>8</v>
      </c>
      <c r="K6" s="16">
        <v>7.5</v>
      </c>
      <c r="L6" s="16">
        <v>7</v>
      </c>
      <c r="M6" s="16">
        <v>6.5</v>
      </c>
    </row>
    <row r="7" spans="1:13">
      <c r="A7" s="11" t="s">
        <v>18</v>
      </c>
      <c r="B7" s="16">
        <v>5</v>
      </c>
      <c r="C7" s="16">
        <v>5</v>
      </c>
      <c r="D7" s="17">
        <v>5.5</v>
      </c>
      <c r="E7" s="16">
        <v>5.5</v>
      </c>
      <c r="F7" s="16">
        <v>6.5</v>
      </c>
      <c r="G7" s="16">
        <v>5.5</v>
      </c>
      <c r="H7" s="16">
        <v>5.5</v>
      </c>
      <c r="I7" s="16">
        <v>6.5</v>
      </c>
      <c r="J7" s="16">
        <v>7</v>
      </c>
      <c r="K7" s="16">
        <v>7.5</v>
      </c>
      <c r="L7" s="16">
        <v>7.5</v>
      </c>
      <c r="M7" s="16">
        <v>6.5</v>
      </c>
    </row>
    <row r="8" spans="1:13">
      <c r="A8" s="11" t="s">
        <v>19</v>
      </c>
      <c r="B8" s="16">
        <v>10</v>
      </c>
      <c r="C8" s="16">
        <v>9.5</v>
      </c>
      <c r="D8" s="17">
        <v>8.5</v>
      </c>
      <c r="E8" s="16">
        <v>7.5</v>
      </c>
      <c r="F8" s="16">
        <v>8.5</v>
      </c>
      <c r="G8" s="16">
        <v>9</v>
      </c>
      <c r="H8" s="16">
        <v>8</v>
      </c>
      <c r="I8" s="16">
        <v>7</v>
      </c>
      <c r="J8" s="16">
        <v>6.5</v>
      </c>
      <c r="K8" s="16">
        <v>7.5</v>
      </c>
      <c r="L8" s="16">
        <v>7</v>
      </c>
      <c r="M8" s="16">
        <v>8</v>
      </c>
    </row>
    <row r="9" spans="1:13">
      <c r="A9" s="11" t="s">
        <v>20</v>
      </c>
      <c r="B9" s="16">
        <v>5.5</v>
      </c>
      <c r="C9" s="16">
        <v>6.5</v>
      </c>
      <c r="D9" s="17">
        <v>7.5</v>
      </c>
      <c r="E9" s="16">
        <v>7.5</v>
      </c>
      <c r="F9" s="16">
        <v>7.5</v>
      </c>
      <c r="G9" s="16">
        <v>7.5</v>
      </c>
      <c r="H9" s="16">
        <v>7</v>
      </c>
      <c r="I9" s="16">
        <v>7</v>
      </c>
      <c r="J9" s="16">
        <v>6.5</v>
      </c>
      <c r="K9" s="16">
        <v>6</v>
      </c>
      <c r="L9" s="16">
        <v>5.5</v>
      </c>
      <c r="M9" s="16">
        <v>5.5</v>
      </c>
    </row>
    <row r="10" spans="1:13">
      <c r="A10" s="11" t="s">
        <v>21</v>
      </c>
      <c r="B10" s="16">
        <v>7.5</v>
      </c>
      <c r="C10" s="16">
        <v>8</v>
      </c>
      <c r="D10" s="17">
        <v>8.5</v>
      </c>
      <c r="E10" s="16">
        <v>8.5</v>
      </c>
      <c r="F10" s="16">
        <v>7.5</v>
      </c>
      <c r="G10" s="16">
        <v>7.5</v>
      </c>
      <c r="H10" s="16">
        <v>7.5</v>
      </c>
      <c r="I10" s="16">
        <v>6.5</v>
      </c>
      <c r="J10" s="16">
        <v>6.5</v>
      </c>
      <c r="K10" s="16">
        <v>6.5</v>
      </c>
      <c r="L10" s="16">
        <v>7</v>
      </c>
      <c r="M10" s="16">
        <v>6.5</v>
      </c>
    </row>
    <row r="11" spans="1:13">
      <c r="A11" s="11" t="s">
        <v>22</v>
      </c>
      <c r="B11" s="16">
        <v>4.5</v>
      </c>
      <c r="C11" s="16">
        <v>5</v>
      </c>
      <c r="D11" s="17">
        <v>5.5</v>
      </c>
      <c r="E11" s="16">
        <v>6.5</v>
      </c>
      <c r="F11" s="16">
        <v>7</v>
      </c>
      <c r="G11" s="16">
        <v>6.5</v>
      </c>
      <c r="H11" s="16">
        <v>6.5</v>
      </c>
      <c r="I11" s="16">
        <v>6</v>
      </c>
      <c r="J11" s="16">
        <v>6</v>
      </c>
      <c r="K11" s="16">
        <v>6.5</v>
      </c>
      <c r="L11" s="16">
        <v>6.5</v>
      </c>
      <c r="M11" s="16">
        <v>6.5</v>
      </c>
    </row>
    <row r="12" spans="1:13">
      <c r="A12" s="11" t="s">
        <v>23</v>
      </c>
      <c r="B12" s="16">
        <v>6.5</v>
      </c>
      <c r="C12" s="16">
        <v>6.5</v>
      </c>
      <c r="D12" s="17">
        <v>6</v>
      </c>
      <c r="E12" s="16">
        <v>5</v>
      </c>
      <c r="F12" s="16">
        <v>6</v>
      </c>
      <c r="G12" s="16">
        <v>6</v>
      </c>
      <c r="H12" s="16">
        <v>6</v>
      </c>
      <c r="I12" s="16">
        <v>6</v>
      </c>
      <c r="J12" s="16">
        <v>6</v>
      </c>
      <c r="K12" s="16">
        <v>6.5</v>
      </c>
      <c r="L12" s="16">
        <v>6</v>
      </c>
      <c r="M12" s="16">
        <v>6.5</v>
      </c>
    </row>
    <row r="13" spans="1:13">
      <c r="A13" s="11" t="s">
        <v>24</v>
      </c>
      <c r="B13" s="16">
        <v>3</v>
      </c>
      <c r="C13" s="16">
        <v>4</v>
      </c>
      <c r="D13" s="17">
        <v>5</v>
      </c>
      <c r="E13" s="16">
        <v>5</v>
      </c>
      <c r="F13" s="16">
        <v>5</v>
      </c>
      <c r="G13" s="16">
        <v>5</v>
      </c>
      <c r="H13" s="16">
        <v>6</v>
      </c>
      <c r="I13" s="16">
        <v>6</v>
      </c>
      <c r="J13" s="16">
        <v>6</v>
      </c>
      <c r="K13" s="16">
        <v>6.5</v>
      </c>
      <c r="L13" s="16">
        <v>6.5</v>
      </c>
      <c r="M13" s="16">
        <v>6.5</v>
      </c>
    </row>
    <row r="14" spans="1:13">
      <c r="A14" s="11" t="s">
        <v>25</v>
      </c>
      <c r="B14" s="16">
        <v>5.5</v>
      </c>
      <c r="C14" s="16">
        <v>6</v>
      </c>
      <c r="D14" s="17">
        <v>7</v>
      </c>
      <c r="E14" s="16">
        <v>6.5</v>
      </c>
      <c r="F14" s="16">
        <v>6.5</v>
      </c>
      <c r="G14" s="16">
        <v>5.5</v>
      </c>
      <c r="H14" s="16">
        <v>6.5</v>
      </c>
      <c r="I14" s="16">
        <v>6.5</v>
      </c>
      <c r="J14" s="16">
        <v>5.5</v>
      </c>
      <c r="K14" s="16">
        <v>5.5</v>
      </c>
      <c r="L14" s="16">
        <v>5</v>
      </c>
      <c r="M14" s="16">
        <v>4.5</v>
      </c>
    </row>
    <row r="15" spans="1:13">
      <c r="A15" s="18" t="s">
        <v>26</v>
      </c>
      <c r="B15" s="16">
        <v>7</v>
      </c>
      <c r="C15" s="16">
        <v>7</v>
      </c>
      <c r="D15" s="17">
        <v>7</v>
      </c>
      <c r="E15" s="16">
        <v>7</v>
      </c>
      <c r="F15" s="16">
        <v>7</v>
      </c>
      <c r="G15" s="16">
        <v>7</v>
      </c>
      <c r="H15" s="16">
        <v>7</v>
      </c>
      <c r="I15" s="16">
        <v>5.5</v>
      </c>
      <c r="J15" s="16">
        <v>5.5</v>
      </c>
      <c r="K15" s="16">
        <v>5.5</v>
      </c>
      <c r="L15" s="16">
        <v>5.5</v>
      </c>
      <c r="M15" s="16">
        <v>5.5</v>
      </c>
    </row>
    <row r="16" spans="1:13">
      <c r="A16" s="11" t="s">
        <v>27</v>
      </c>
      <c r="B16" s="16">
        <v>7.5</v>
      </c>
      <c r="C16" s="16">
        <v>7.5</v>
      </c>
      <c r="D16" s="17">
        <v>7.5</v>
      </c>
      <c r="E16" s="16">
        <v>6.5</v>
      </c>
      <c r="F16" s="16">
        <v>6.5</v>
      </c>
      <c r="G16" s="16">
        <v>6.5</v>
      </c>
      <c r="H16" s="16">
        <v>5.5</v>
      </c>
      <c r="I16" s="16">
        <v>5.5</v>
      </c>
      <c r="J16" s="16">
        <v>5.5</v>
      </c>
      <c r="K16" s="16">
        <v>4.5</v>
      </c>
      <c r="L16" s="16">
        <v>4.5</v>
      </c>
      <c r="M16" s="16">
        <v>4.5</v>
      </c>
    </row>
    <row r="17" spans="1:13">
      <c r="A17" s="11" t="s">
        <v>28</v>
      </c>
      <c r="B17" s="16">
        <v>6</v>
      </c>
      <c r="C17" s="16">
        <v>6</v>
      </c>
      <c r="D17" s="17">
        <v>5</v>
      </c>
      <c r="E17" s="16">
        <v>5</v>
      </c>
      <c r="F17" s="16">
        <v>5.5</v>
      </c>
      <c r="G17" s="16">
        <v>6</v>
      </c>
      <c r="H17" s="16">
        <v>5</v>
      </c>
      <c r="I17" s="16">
        <v>5</v>
      </c>
      <c r="J17" s="16">
        <v>5</v>
      </c>
      <c r="K17" s="16">
        <v>5</v>
      </c>
      <c r="L17" s="16">
        <v>5.5</v>
      </c>
      <c r="M17" s="16">
        <v>6</v>
      </c>
    </row>
    <row r="18" spans="1:13">
      <c r="A18" s="11" t="s">
        <v>29</v>
      </c>
      <c r="B18" s="16">
        <v>4</v>
      </c>
      <c r="C18" s="16">
        <v>4</v>
      </c>
      <c r="D18" s="17">
        <v>4</v>
      </c>
      <c r="E18" s="16">
        <v>4.5</v>
      </c>
      <c r="F18" s="16">
        <v>4.5</v>
      </c>
      <c r="G18" s="16">
        <v>5</v>
      </c>
      <c r="H18" s="16">
        <v>5</v>
      </c>
      <c r="I18" s="16">
        <v>5</v>
      </c>
      <c r="J18" s="16">
        <v>5</v>
      </c>
      <c r="K18" s="16">
        <v>4.5</v>
      </c>
      <c r="L18" s="16">
        <v>4.5</v>
      </c>
      <c r="M18" s="16">
        <v>4.5</v>
      </c>
    </row>
    <row r="19" spans="1:13">
      <c r="A19" s="11" t="s">
        <v>30</v>
      </c>
      <c r="B19" s="16">
        <v>8</v>
      </c>
      <c r="C19" s="16">
        <v>7.5</v>
      </c>
      <c r="D19" s="17">
        <v>6.5</v>
      </c>
      <c r="E19" s="16">
        <v>5.5</v>
      </c>
      <c r="F19" s="16">
        <v>4.5</v>
      </c>
      <c r="G19" s="16">
        <v>3.5</v>
      </c>
      <c r="H19" s="16">
        <v>4.5</v>
      </c>
      <c r="I19" s="16">
        <v>4</v>
      </c>
      <c r="J19" s="16">
        <v>5</v>
      </c>
      <c r="K19" s="16">
        <v>5</v>
      </c>
      <c r="L19" s="16">
        <v>5</v>
      </c>
      <c r="M19" s="16">
        <v>4.5</v>
      </c>
    </row>
    <row r="20" spans="1:13">
      <c r="A20" s="11" t="s">
        <v>31</v>
      </c>
      <c r="B20" s="16">
        <v>7</v>
      </c>
      <c r="C20" s="16">
        <v>7</v>
      </c>
      <c r="D20" s="17">
        <v>6</v>
      </c>
      <c r="E20" s="16">
        <v>5.5</v>
      </c>
      <c r="F20" s="16">
        <v>4.5</v>
      </c>
      <c r="G20" s="16">
        <v>4.5</v>
      </c>
      <c r="H20" s="16">
        <v>4.5</v>
      </c>
      <c r="I20" s="16">
        <v>5.5</v>
      </c>
      <c r="J20" s="16">
        <v>4.5</v>
      </c>
      <c r="K20" s="16">
        <v>5</v>
      </c>
      <c r="L20" s="16">
        <v>5</v>
      </c>
      <c r="M20" s="16">
        <v>5.5</v>
      </c>
    </row>
    <row r="21" spans="1:13">
      <c r="A21" s="11" t="s">
        <v>32</v>
      </c>
      <c r="B21" s="16">
        <v>4</v>
      </c>
      <c r="C21" s="16">
        <v>4</v>
      </c>
      <c r="D21" s="17">
        <v>4.5</v>
      </c>
      <c r="E21" s="16">
        <v>4.5</v>
      </c>
      <c r="F21" s="16">
        <v>4.5</v>
      </c>
      <c r="G21" s="16">
        <v>4.5</v>
      </c>
      <c r="H21" s="16">
        <v>4</v>
      </c>
      <c r="I21" s="16">
        <v>4</v>
      </c>
      <c r="J21" s="16">
        <v>4</v>
      </c>
      <c r="K21" s="16">
        <v>4</v>
      </c>
      <c r="L21" s="16">
        <v>4</v>
      </c>
      <c r="M21" s="16">
        <v>4</v>
      </c>
    </row>
    <row r="22" spans="1:13">
      <c r="A22" s="18" t="s">
        <v>33</v>
      </c>
      <c r="B22" s="16">
        <v>4</v>
      </c>
      <c r="C22" s="16">
        <v>4</v>
      </c>
      <c r="D22" s="17">
        <v>4</v>
      </c>
      <c r="E22" s="16">
        <v>4.5</v>
      </c>
      <c r="F22" s="16">
        <v>5</v>
      </c>
      <c r="G22" s="16">
        <v>4.5</v>
      </c>
      <c r="H22" s="16">
        <v>4</v>
      </c>
      <c r="I22" s="16">
        <v>4</v>
      </c>
      <c r="J22" s="16">
        <v>4</v>
      </c>
      <c r="K22" s="16">
        <v>4</v>
      </c>
      <c r="L22" s="16">
        <v>4</v>
      </c>
      <c r="M22" s="16">
        <v>4</v>
      </c>
    </row>
    <row r="23" spans="1:13">
      <c r="A23" s="11" t="s">
        <v>34</v>
      </c>
      <c r="B23" s="16">
        <v>2</v>
      </c>
      <c r="C23" s="16">
        <v>2</v>
      </c>
      <c r="D23" s="17">
        <v>2</v>
      </c>
      <c r="E23" s="16">
        <v>2</v>
      </c>
      <c r="F23" s="16">
        <v>2.5</v>
      </c>
      <c r="G23" s="16">
        <v>2.5</v>
      </c>
      <c r="H23" s="16">
        <v>4</v>
      </c>
      <c r="I23" s="16">
        <v>4</v>
      </c>
      <c r="J23" s="16">
        <v>4</v>
      </c>
      <c r="K23" s="16">
        <v>3</v>
      </c>
      <c r="L23" s="16">
        <v>3</v>
      </c>
      <c r="M23" s="16">
        <v>3</v>
      </c>
    </row>
    <row r="24" spans="1:13">
      <c r="A24" s="11" t="s">
        <v>35</v>
      </c>
      <c r="B24" s="16">
        <v>3.5</v>
      </c>
      <c r="C24" s="16">
        <v>3.5</v>
      </c>
      <c r="D24" s="17">
        <v>3.5</v>
      </c>
      <c r="E24" s="16">
        <v>3.5</v>
      </c>
      <c r="F24" s="16">
        <v>2.5</v>
      </c>
      <c r="G24" s="16">
        <v>3</v>
      </c>
      <c r="H24" s="16">
        <v>3</v>
      </c>
      <c r="I24" s="16">
        <v>3.5</v>
      </c>
      <c r="J24" s="16">
        <v>3.5</v>
      </c>
      <c r="K24" s="16">
        <v>3.5</v>
      </c>
      <c r="L24" s="16">
        <v>3.5</v>
      </c>
      <c r="M24" s="16">
        <v>3.5</v>
      </c>
    </row>
    <row r="25" spans="1:13">
      <c r="A25" s="11" t="s">
        <v>36</v>
      </c>
      <c r="B25" s="16">
        <v>4.5</v>
      </c>
      <c r="C25" s="16">
        <v>4</v>
      </c>
      <c r="D25" s="17">
        <v>3</v>
      </c>
      <c r="E25" s="16">
        <v>3</v>
      </c>
      <c r="F25" s="16">
        <v>3.5</v>
      </c>
      <c r="G25" s="16">
        <v>4.5</v>
      </c>
      <c r="H25" s="16">
        <v>3.5</v>
      </c>
      <c r="I25" s="16">
        <v>3.5</v>
      </c>
      <c r="J25" s="16">
        <v>3</v>
      </c>
      <c r="K25" s="16">
        <v>3</v>
      </c>
      <c r="L25" s="16">
        <v>3.5</v>
      </c>
      <c r="M25" s="16">
        <v>3</v>
      </c>
    </row>
    <row r="26" spans="1:13">
      <c r="A26" s="11" t="s">
        <v>37</v>
      </c>
      <c r="B26" s="16">
        <v>3</v>
      </c>
      <c r="C26" s="16">
        <v>3</v>
      </c>
      <c r="D26" s="17">
        <v>3</v>
      </c>
      <c r="E26" s="16">
        <v>3</v>
      </c>
      <c r="F26" s="16">
        <v>3</v>
      </c>
      <c r="G26" s="16">
        <v>3</v>
      </c>
      <c r="H26" s="16">
        <v>3</v>
      </c>
      <c r="I26" s="16">
        <v>3</v>
      </c>
      <c r="J26" s="16">
        <v>3</v>
      </c>
      <c r="K26" s="16">
        <v>3</v>
      </c>
      <c r="L26" s="16">
        <v>3</v>
      </c>
      <c r="M26" s="16">
        <v>3</v>
      </c>
    </row>
    <row r="27" spans="1:13">
      <c r="A27" s="11" t="s">
        <v>38</v>
      </c>
      <c r="B27" s="16">
        <v>3</v>
      </c>
      <c r="C27" s="16">
        <v>2</v>
      </c>
      <c r="D27" s="17">
        <v>1.5</v>
      </c>
      <c r="E27" s="16">
        <v>1.5</v>
      </c>
      <c r="F27" s="16">
        <v>1.5</v>
      </c>
      <c r="G27" s="16">
        <v>3</v>
      </c>
      <c r="H27" s="16">
        <v>3</v>
      </c>
      <c r="I27" s="16">
        <v>2.5</v>
      </c>
      <c r="J27" s="16">
        <v>2.5</v>
      </c>
      <c r="K27" s="16">
        <v>2.5</v>
      </c>
      <c r="L27" s="16">
        <v>2</v>
      </c>
      <c r="M27" s="16">
        <v>2</v>
      </c>
    </row>
    <row r="28" spans="1:13">
      <c r="A28" s="11" t="s">
        <v>39</v>
      </c>
      <c r="B28" s="16">
        <v>3</v>
      </c>
      <c r="C28" s="16">
        <v>3</v>
      </c>
      <c r="D28" s="17">
        <v>2.5</v>
      </c>
      <c r="E28" s="16">
        <v>2</v>
      </c>
      <c r="F28" s="16">
        <v>2</v>
      </c>
      <c r="G28" s="16">
        <v>2</v>
      </c>
      <c r="H28" s="16">
        <v>2</v>
      </c>
      <c r="I28" s="16">
        <v>2</v>
      </c>
      <c r="J28" s="16">
        <v>2</v>
      </c>
      <c r="K28" s="16">
        <v>1.5</v>
      </c>
      <c r="L28" s="16">
        <v>1.5</v>
      </c>
      <c r="M28" s="16">
        <v>1.5</v>
      </c>
    </row>
    <row r="29" spans="1:13">
      <c r="A29" s="11" t="s">
        <v>40</v>
      </c>
      <c r="B29" s="16">
        <v>1</v>
      </c>
      <c r="C29" s="16">
        <v>1</v>
      </c>
      <c r="D29" s="17">
        <v>3</v>
      </c>
      <c r="E29" s="16">
        <v>3</v>
      </c>
      <c r="F29" s="16">
        <v>3</v>
      </c>
      <c r="G29" s="16">
        <v>2</v>
      </c>
      <c r="H29" s="16">
        <v>2</v>
      </c>
      <c r="I29" s="16">
        <v>2</v>
      </c>
      <c r="J29" s="16">
        <v>2</v>
      </c>
      <c r="K29" s="16">
        <v>2.5</v>
      </c>
      <c r="L29" s="16">
        <v>3</v>
      </c>
      <c r="M29" s="16">
        <v>3</v>
      </c>
    </row>
    <row r="30" spans="1:13">
      <c r="A30" s="11" t="s">
        <v>41</v>
      </c>
      <c r="B30" s="16">
        <v>2</v>
      </c>
      <c r="C30" s="16">
        <v>2</v>
      </c>
      <c r="D30" s="17">
        <v>1.5</v>
      </c>
      <c r="E30" s="16">
        <v>2.5</v>
      </c>
      <c r="F30" s="16">
        <v>2.5</v>
      </c>
      <c r="G30" s="16">
        <v>2</v>
      </c>
      <c r="H30" s="16">
        <v>1.5</v>
      </c>
      <c r="I30" s="16">
        <v>2</v>
      </c>
      <c r="J30" s="16">
        <v>2</v>
      </c>
      <c r="K30" s="16">
        <v>2</v>
      </c>
      <c r="L30" s="16">
        <v>1.5</v>
      </c>
      <c r="M30" s="16">
        <v>2.5</v>
      </c>
    </row>
    <row r="31" spans="1:13">
      <c r="A31" s="11" t="s">
        <v>42</v>
      </c>
      <c r="B31" s="16">
        <v>2</v>
      </c>
      <c r="C31" s="16"/>
      <c r="D31" s="16"/>
      <c r="E31" s="16"/>
      <c r="F31" s="16"/>
      <c r="G31" s="16"/>
      <c r="H31" s="16"/>
      <c r="I31" s="16"/>
      <c r="J31" s="16">
        <v>2</v>
      </c>
      <c r="K31" s="16">
        <v>1.5</v>
      </c>
      <c r="L31" s="16">
        <v>2</v>
      </c>
      <c r="M31" s="16">
        <v>1.5</v>
      </c>
    </row>
    <row r="32" spans="1:13">
      <c r="A32" s="11" t="s">
        <v>43</v>
      </c>
      <c r="B32" s="16">
        <v>1</v>
      </c>
      <c r="C32" s="16"/>
      <c r="D32" s="16"/>
      <c r="E32" s="16"/>
      <c r="F32" s="16"/>
      <c r="G32" s="16"/>
      <c r="H32" s="16"/>
      <c r="I32" s="16"/>
      <c r="J32" s="16">
        <v>1</v>
      </c>
      <c r="K32" s="16">
        <v>2</v>
      </c>
      <c r="L32" s="16">
        <v>2.5</v>
      </c>
      <c r="M32" s="16">
        <v>2</v>
      </c>
    </row>
    <row r="33" spans="2:2">
      <c r="B33" s="16"/>
    </row>
    <row r="34" spans="2:2">
      <c r="B34" s="16"/>
    </row>
    <row r="35" spans="2:2">
      <c r="B35" s="16"/>
    </row>
    <row r="36" spans="2:2">
      <c r="B36" s="16"/>
    </row>
    <row r="37" spans="2:2">
      <c r="B37" s="16"/>
    </row>
    <row r="38" spans="2:2">
      <c r="B38" s="16"/>
    </row>
    <row r="39" spans="2:2">
      <c r="B39" s="16"/>
    </row>
    <row r="40" spans="2:2">
      <c r="B40" s="16"/>
    </row>
    <row r="41" spans="2:2">
      <c r="B41" s="16"/>
    </row>
    <row r="42" spans="2:2">
      <c r="B42" s="16"/>
    </row>
    <row r="43" spans="2:2">
      <c r="B43" s="16"/>
    </row>
    <row r="44" spans="2:2">
      <c r="B44" s="16"/>
    </row>
    <row r="45" spans="2:2">
      <c r="B45" s="16"/>
    </row>
    <row r="46" spans="2:2">
      <c r="B46" s="16"/>
    </row>
    <row r="47" spans="2:2">
      <c r="B47" s="16"/>
    </row>
    <row r="48" spans="2:2">
      <c r="B48" s="16"/>
    </row>
    <row r="49" spans="2:2">
      <c r="B49" s="16"/>
    </row>
    <row r="50" spans="2:2">
      <c r="B50" s="16"/>
    </row>
    <row r="51" spans="2:2">
      <c r="B51" s="16"/>
    </row>
    <row r="52" spans="2:2">
      <c r="B52" s="16"/>
    </row>
    <row r="53" spans="2:2">
      <c r="B53" s="16"/>
    </row>
    <row r="54" spans="2:2">
      <c r="B54" s="16"/>
    </row>
    <row r="55" spans="2:2">
      <c r="B55" s="16"/>
    </row>
    <row r="56" spans="2:2">
      <c r="B56" s="16"/>
    </row>
    <row r="57" spans="2:2">
      <c r="B57" s="16"/>
    </row>
    <row r="58" spans="2:2">
      <c r="B58" s="16"/>
    </row>
    <row r="59" spans="2:2">
      <c r="B59" s="16"/>
    </row>
    <row r="60" spans="2:2">
      <c r="B60" s="16"/>
    </row>
  </sheetData>
  <sortState ref="A2:J32">
    <sortCondition ref="J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5"/>
  <sheetViews>
    <sheetView workbookViewId="0">
      <pane xSplit="8" ySplit="1" topLeftCell="K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1" max="1" width="7.75" customWidth="1"/>
    <col min="2" max="2" width="9.5" customWidth="1"/>
    <col min="8" max="9" width="12.75" customWidth="1"/>
    <col min="30" max="31" width="12.5" customWidth="1"/>
    <col min="32" max="32" width="14" customWidth="1"/>
  </cols>
  <sheetData>
    <row r="1" spans="1:3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</row>
    <row r="2" spans="1:34">
      <c r="A2">
        <v>260505</v>
      </c>
      <c r="B2">
        <v>1</v>
      </c>
      <c r="C2" t="s">
        <v>76</v>
      </c>
      <c r="D2" t="s">
        <v>77</v>
      </c>
      <c r="E2">
        <v>47</v>
      </c>
      <c r="F2" t="s">
        <v>13</v>
      </c>
      <c r="G2">
        <v>7.5</v>
      </c>
      <c r="H2" t="s">
        <v>78</v>
      </c>
      <c r="I2">
        <v>2</v>
      </c>
      <c r="J2">
        <v>28</v>
      </c>
      <c r="K2">
        <v>22</v>
      </c>
      <c r="L2">
        <v>3</v>
      </c>
      <c r="M2">
        <v>17</v>
      </c>
      <c r="N2" s="1">
        <v>0.83</v>
      </c>
      <c r="O2" s="1">
        <v>0.388</v>
      </c>
      <c r="P2">
        <v>36027</v>
      </c>
      <c r="Q2">
        <v>399</v>
      </c>
      <c r="R2">
        <v>15</v>
      </c>
      <c r="S2">
        <v>761</v>
      </c>
      <c r="T2">
        <v>1027</v>
      </c>
      <c r="U2">
        <v>7</v>
      </c>
      <c r="V2">
        <v>106</v>
      </c>
      <c r="W2">
        <v>104915</v>
      </c>
      <c r="X2">
        <v>11628</v>
      </c>
      <c r="Y2">
        <v>66052</v>
      </c>
      <c r="Z2" s="1">
        <v>0.508</v>
      </c>
      <c r="AA2">
        <v>1639</v>
      </c>
      <c r="AB2" s="3">
        <v>0.160416666666667</v>
      </c>
      <c r="AC2">
        <v>4</v>
      </c>
      <c r="AD2">
        <v>4161</v>
      </c>
      <c r="AE2">
        <v>8</v>
      </c>
      <c r="AF2">
        <v>180</v>
      </c>
      <c r="AG2">
        <v>2</v>
      </c>
      <c r="AH2">
        <v>2</v>
      </c>
    </row>
    <row r="3" spans="1:34">
      <c r="A3">
        <v>260505</v>
      </c>
      <c r="B3">
        <v>1</v>
      </c>
      <c r="C3" t="s">
        <v>76</v>
      </c>
      <c r="D3" t="s">
        <v>77</v>
      </c>
      <c r="E3">
        <v>47</v>
      </c>
      <c r="F3" t="s">
        <v>22</v>
      </c>
      <c r="G3">
        <v>4.5</v>
      </c>
      <c r="H3" t="s">
        <v>79</v>
      </c>
      <c r="I3">
        <v>5</v>
      </c>
      <c r="J3">
        <v>23</v>
      </c>
      <c r="K3">
        <v>4</v>
      </c>
      <c r="L3">
        <v>9</v>
      </c>
      <c r="M3">
        <v>32</v>
      </c>
      <c r="N3" s="1">
        <v>0.766</v>
      </c>
      <c r="O3" s="1">
        <v>0.09</v>
      </c>
      <c r="P3">
        <v>16637</v>
      </c>
      <c r="Q3">
        <v>65</v>
      </c>
      <c r="R3">
        <v>1</v>
      </c>
      <c r="S3">
        <v>355</v>
      </c>
      <c r="T3">
        <v>603</v>
      </c>
      <c r="U3">
        <v>2</v>
      </c>
      <c r="V3">
        <v>0</v>
      </c>
      <c r="W3">
        <v>24220</v>
      </c>
      <c r="X3">
        <v>1497</v>
      </c>
      <c r="Y3">
        <v>50639</v>
      </c>
      <c r="Z3" s="1">
        <v>0.49</v>
      </c>
      <c r="AA3">
        <v>1006</v>
      </c>
      <c r="AB3" s="3">
        <v>0.243055555555556</v>
      </c>
      <c r="AC3">
        <v>7</v>
      </c>
      <c r="AD3">
        <v>2264</v>
      </c>
      <c r="AE3">
        <v>5</v>
      </c>
      <c r="AF3">
        <v>1100</v>
      </c>
      <c r="AG3">
        <v>0</v>
      </c>
      <c r="AH3">
        <v>9</v>
      </c>
    </row>
    <row r="4" spans="1:34">
      <c r="A4">
        <v>260505</v>
      </c>
      <c r="B4">
        <v>1</v>
      </c>
      <c r="C4" t="s">
        <v>76</v>
      </c>
      <c r="D4" t="s">
        <v>77</v>
      </c>
      <c r="E4">
        <v>47</v>
      </c>
      <c r="F4" t="s">
        <v>29</v>
      </c>
      <c r="G4">
        <v>4</v>
      </c>
      <c r="H4" t="s">
        <v>80</v>
      </c>
      <c r="I4">
        <v>3</v>
      </c>
      <c r="J4">
        <v>28</v>
      </c>
      <c r="K4">
        <v>9</v>
      </c>
      <c r="L4">
        <v>7</v>
      </c>
      <c r="M4">
        <v>24</v>
      </c>
      <c r="N4" s="1">
        <v>0.702</v>
      </c>
      <c r="O4" s="1">
        <v>0.185</v>
      </c>
      <c r="P4">
        <v>25961</v>
      </c>
      <c r="Q4">
        <v>361</v>
      </c>
      <c r="R4">
        <v>0</v>
      </c>
      <c r="S4">
        <v>607</v>
      </c>
      <c r="T4">
        <v>1044</v>
      </c>
      <c r="U4">
        <v>1</v>
      </c>
      <c r="V4">
        <v>8496</v>
      </c>
      <c r="W4">
        <v>49924</v>
      </c>
      <c r="X4">
        <v>7935</v>
      </c>
      <c r="Y4">
        <v>104990</v>
      </c>
      <c r="Z4" s="1">
        <v>0.538</v>
      </c>
      <c r="AA4">
        <v>1744</v>
      </c>
      <c r="AB4" s="3">
        <v>0.223611111111111</v>
      </c>
      <c r="AC4">
        <v>3</v>
      </c>
      <c r="AD4">
        <v>3493</v>
      </c>
      <c r="AE4">
        <v>6</v>
      </c>
      <c r="AF4">
        <v>130</v>
      </c>
      <c r="AG4">
        <v>0</v>
      </c>
      <c r="AH4">
        <v>1</v>
      </c>
    </row>
    <row r="5" spans="1:34">
      <c r="A5">
        <v>260505</v>
      </c>
      <c r="B5">
        <v>1</v>
      </c>
      <c r="C5" t="s">
        <v>76</v>
      </c>
      <c r="D5" t="s">
        <v>77</v>
      </c>
      <c r="E5">
        <v>47</v>
      </c>
      <c r="F5" t="s">
        <v>20</v>
      </c>
      <c r="G5">
        <v>5.5</v>
      </c>
      <c r="H5" t="s">
        <v>81</v>
      </c>
      <c r="I5">
        <v>1</v>
      </c>
      <c r="J5">
        <v>27</v>
      </c>
      <c r="K5">
        <v>7</v>
      </c>
      <c r="L5">
        <v>8</v>
      </c>
      <c r="M5">
        <v>13</v>
      </c>
      <c r="N5" s="1">
        <v>0.426</v>
      </c>
      <c r="O5" s="1">
        <v>0.199</v>
      </c>
      <c r="P5">
        <v>27056</v>
      </c>
      <c r="Q5">
        <v>412</v>
      </c>
      <c r="R5">
        <v>6</v>
      </c>
      <c r="S5">
        <v>597</v>
      </c>
      <c r="T5">
        <v>846</v>
      </c>
      <c r="U5">
        <v>1</v>
      </c>
      <c r="V5">
        <v>0</v>
      </c>
      <c r="W5">
        <v>53882</v>
      </c>
      <c r="X5">
        <v>3443</v>
      </c>
      <c r="Y5">
        <v>96703</v>
      </c>
      <c r="Z5" s="1">
        <v>0.499</v>
      </c>
      <c r="AA5">
        <v>2292</v>
      </c>
      <c r="AB5" s="3">
        <v>0.321527777777778</v>
      </c>
      <c r="AC5">
        <v>8</v>
      </c>
      <c r="AD5">
        <v>3424</v>
      </c>
      <c r="AE5">
        <v>5</v>
      </c>
      <c r="AF5">
        <v>80</v>
      </c>
      <c r="AG5">
        <v>2</v>
      </c>
      <c r="AH5">
        <v>1</v>
      </c>
    </row>
    <row r="6" spans="1:34">
      <c r="A6">
        <v>260505</v>
      </c>
      <c r="B6">
        <v>1</v>
      </c>
      <c r="C6" t="s">
        <v>76</v>
      </c>
      <c r="D6" t="s">
        <v>77</v>
      </c>
      <c r="E6">
        <v>47</v>
      </c>
      <c r="F6" t="s">
        <v>25</v>
      </c>
      <c r="G6">
        <v>5.5</v>
      </c>
      <c r="H6" t="s">
        <v>82</v>
      </c>
      <c r="I6">
        <v>4</v>
      </c>
      <c r="J6">
        <v>24</v>
      </c>
      <c r="K6">
        <v>4</v>
      </c>
      <c r="L6">
        <v>5</v>
      </c>
      <c r="M6">
        <v>32</v>
      </c>
      <c r="N6" s="1">
        <v>0.766</v>
      </c>
      <c r="O6" s="1">
        <v>0.139</v>
      </c>
      <c r="P6">
        <v>14787</v>
      </c>
      <c r="Q6">
        <v>68</v>
      </c>
      <c r="R6">
        <v>3</v>
      </c>
      <c r="S6">
        <v>337</v>
      </c>
      <c r="T6">
        <v>612</v>
      </c>
      <c r="U6">
        <v>3</v>
      </c>
      <c r="V6">
        <v>0</v>
      </c>
      <c r="W6">
        <v>37470</v>
      </c>
      <c r="X6">
        <v>1924</v>
      </c>
      <c r="Y6">
        <v>61566</v>
      </c>
      <c r="Z6" s="1">
        <v>0.402</v>
      </c>
      <c r="AA6">
        <v>758</v>
      </c>
      <c r="AB6" s="3">
        <v>0.177083333333333</v>
      </c>
      <c r="AC6">
        <v>10</v>
      </c>
      <c r="AD6">
        <v>1615</v>
      </c>
      <c r="AE6">
        <v>5</v>
      </c>
      <c r="AF6">
        <v>1980</v>
      </c>
      <c r="AG6">
        <v>2</v>
      </c>
      <c r="AH6">
        <v>7</v>
      </c>
    </row>
    <row r="7" spans="1:34">
      <c r="A7">
        <v>260505</v>
      </c>
      <c r="B7">
        <v>1</v>
      </c>
      <c r="C7" t="s">
        <v>83</v>
      </c>
      <c r="D7" t="s">
        <v>84</v>
      </c>
      <c r="E7">
        <v>32</v>
      </c>
      <c r="F7" t="s">
        <v>30</v>
      </c>
      <c r="G7">
        <v>8</v>
      </c>
      <c r="H7" t="s">
        <v>85</v>
      </c>
      <c r="I7">
        <v>2</v>
      </c>
      <c r="J7">
        <v>27</v>
      </c>
      <c r="K7">
        <v>12</v>
      </c>
      <c r="L7">
        <v>8</v>
      </c>
      <c r="M7">
        <v>12</v>
      </c>
      <c r="N7" s="1">
        <v>0.75</v>
      </c>
      <c r="O7" s="1">
        <v>0.247</v>
      </c>
      <c r="P7">
        <v>23869</v>
      </c>
      <c r="Q7">
        <v>364</v>
      </c>
      <c r="R7">
        <v>13</v>
      </c>
      <c r="S7">
        <v>572</v>
      </c>
      <c r="T7">
        <v>894</v>
      </c>
      <c r="U7">
        <v>5</v>
      </c>
      <c r="V7">
        <v>0</v>
      </c>
      <c r="W7">
        <v>47380</v>
      </c>
      <c r="X7">
        <v>645</v>
      </c>
      <c r="Y7">
        <v>108592</v>
      </c>
      <c r="Z7" s="1">
        <v>0.566</v>
      </c>
      <c r="AA7">
        <v>2102</v>
      </c>
      <c r="AB7" s="3">
        <v>0.273611111111111</v>
      </c>
      <c r="AC7">
        <v>6</v>
      </c>
      <c r="AD7">
        <v>3201</v>
      </c>
      <c r="AE7">
        <v>8</v>
      </c>
      <c r="AF7">
        <v>370</v>
      </c>
      <c r="AG7">
        <v>0</v>
      </c>
      <c r="AH7">
        <v>1</v>
      </c>
    </row>
    <row r="8" spans="1:34">
      <c r="A8">
        <v>260505</v>
      </c>
      <c r="B8">
        <v>1</v>
      </c>
      <c r="C8" t="s">
        <v>83</v>
      </c>
      <c r="D8" t="s">
        <v>84</v>
      </c>
      <c r="E8">
        <v>32</v>
      </c>
      <c r="F8" t="s">
        <v>19</v>
      </c>
      <c r="G8">
        <v>10</v>
      </c>
      <c r="H8" t="s">
        <v>86</v>
      </c>
      <c r="I8">
        <v>1</v>
      </c>
      <c r="J8">
        <v>24</v>
      </c>
      <c r="K8">
        <v>8</v>
      </c>
      <c r="L8">
        <v>2</v>
      </c>
      <c r="M8">
        <v>10</v>
      </c>
      <c r="N8" s="1">
        <v>0.563</v>
      </c>
      <c r="O8" s="1">
        <v>0.385</v>
      </c>
      <c r="P8">
        <v>35934</v>
      </c>
      <c r="Q8">
        <v>627</v>
      </c>
      <c r="R8">
        <v>2</v>
      </c>
      <c r="S8">
        <v>716</v>
      </c>
      <c r="T8">
        <v>658</v>
      </c>
      <c r="U8">
        <v>2</v>
      </c>
      <c r="V8">
        <v>0</v>
      </c>
      <c r="W8">
        <v>73917</v>
      </c>
      <c r="X8">
        <v>4579</v>
      </c>
      <c r="Y8">
        <v>184578</v>
      </c>
      <c r="Z8" s="1">
        <v>0.457</v>
      </c>
      <c r="AA8">
        <v>1005</v>
      </c>
      <c r="AB8" s="3">
        <v>0.129166666666667</v>
      </c>
      <c r="AC8">
        <v>9</v>
      </c>
      <c r="AD8">
        <v>4216</v>
      </c>
      <c r="AE8">
        <v>7</v>
      </c>
      <c r="AF8">
        <v>0</v>
      </c>
      <c r="AG8">
        <v>2</v>
      </c>
      <c r="AH8">
        <v>2</v>
      </c>
    </row>
    <row r="9" spans="1:34">
      <c r="A9">
        <v>260505</v>
      </c>
      <c r="B9">
        <v>1</v>
      </c>
      <c r="C9" t="s">
        <v>83</v>
      </c>
      <c r="D9" t="s">
        <v>84</v>
      </c>
      <c r="E9">
        <v>32</v>
      </c>
      <c r="F9" t="s">
        <v>36</v>
      </c>
      <c r="G9">
        <v>5.5</v>
      </c>
      <c r="H9" t="s">
        <v>87</v>
      </c>
      <c r="I9">
        <v>3</v>
      </c>
      <c r="J9">
        <v>23</v>
      </c>
      <c r="K9">
        <v>5</v>
      </c>
      <c r="L9">
        <v>11</v>
      </c>
      <c r="M9">
        <v>14</v>
      </c>
      <c r="N9" s="1">
        <v>0.594</v>
      </c>
      <c r="O9" s="1">
        <v>0.17</v>
      </c>
      <c r="P9">
        <v>17644</v>
      </c>
      <c r="Q9">
        <v>244</v>
      </c>
      <c r="R9">
        <v>20</v>
      </c>
      <c r="S9">
        <v>399</v>
      </c>
      <c r="T9">
        <v>595</v>
      </c>
      <c r="U9">
        <v>2</v>
      </c>
      <c r="V9">
        <v>4835</v>
      </c>
      <c r="W9">
        <v>32615</v>
      </c>
      <c r="X9">
        <v>994</v>
      </c>
      <c r="Y9">
        <v>101283</v>
      </c>
      <c r="Z9" s="1">
        <v>0.479</v>
      </c>
      <c r="AA9">
        <v>3165</v>
      </c>
      <c r="AB9" s="3">
        <v>0.399305555555556</v>
      </c>
      <c r="AC9">
        <v>5</v>
      </c>
      <c r="AD9">
        <v>3672</v>
      </c>
      <c r="AE9">
        <v>6</v>
      </c>
      <c r="AF9">
        <v>0</v>
      </c>
      <c r="AG9">
        <v>0</v>
      </c>
      <c r="AH9">
        <v>3</v>
      </c>
    </row>
    <row r="10" spans="1:34">
      <c r="A10">
        <v>260505</v>
      </c>
      <c r="B10">
        <v>1</v>
      </c>
      <c r="C10" t="s">
        <v>83</v>
      </c>
      <c r="D10" t="s">
        <v>84</v>
      </c>
      <c r="E10">
        <v>32</v>
      </c>
      <c r="F10" t="s">
        <v>41</v>
      </c>
      <c r="G10">
        <v>2</v>
      </c>
      <c r="H10" t="s">
        <v>88</v>
      </c>
      <c r="I10">
        <v>5</v>
      </c>
      <c r="J10">
        <v>18</v>
      </c>
      <c r="K10">
        <v>4</v>
      </c>
      <c r="L10">
        <v>9</v>
      </c>
      <c r="M10">
        <v>16</v>
      </c>
      <c r="N10" s="1">
        <v>0.625</v>
      </c>
      <c r="O10" s="1">
        <v>0.086</v>
      </c>
      <c r="P10">
        <v>13266</v>
      </c>
      <c r="Q10">
        <v>76</v>
      </c>
      <c r="R10">
        <v>1</v>
      </c>
      <c r="S10">
        <v>308</v>
      </c>
      <c r="T10">
        <v>372</v>
      </c>
      <c r="U10">
        <v>2</v>
      </c>
      <c r="V10">
        <v>4742</v>
      </c>
      <c r="W10">
        <v>16448</v>
      </c>
      <c r="X10">
        <v>189</v>
      </c>
      <c r="Y10">
        <v>51471</v>
      </c>
      <c r="Z10" s="1">
        <v>0.434</v>
      </c>
      <c r="AA10">
        <v>1309</v>
      </c>
      <c r="AB10" s="3">
        <v>0.272916666666667</v>
      </c>
      <c r="AC10">
        <v>2</v>
      </c>
      <c r="AD10">
        <v>1709</v>
      </c>
      <c r="AE10">
        <v>6</v>
      </c>
      <c r="AF10">
        <v>1520</v>
      </c>
      <c r="AG10">
        <v>0</v>
      </c>
      <c r="AH10">
        <v>9</v>
      </c>
    </row>
    <row r="11" spans="1:34">
      <c r="A11">
        <v>260505</v>
      </c>
      <c r="B11">
        <v>1</v>
      </c>
      <c r="C11" t="s">
        <v>83</v>
      </c>
      <c r="D11" t="s">
        <v>84</v>
      </c>
      <c r="E11">
        <v>32</v>
      </c>
      <c r="F11" t="s">
        <v>38</v>
      </c>
      <c r="G11">
        <v>3</v>
      </c>
      <c r="H11" t="s">
        <v>89</v>
      </c>
      <c r="I11">
        <v>4</v>
      </c>
      <c r="J11">
        <v>21</v>
      </c>
      <c r="K11">
        <v>3</v>
      </c>
      <c r="L11">
        <v>18</v>
      </c>
      <c r="M11">
        <v>15</v>
      </c>
      <c r="N11" s="1">
        <v>0.563</v>
      </c>
      <c r="O11" s="1">
        <v>0.113</v>
      </c>
      <c r="P11">
        <v>10344</v>
      </c>
      <c r="Q11">
        <v>22</v>
      </c>
      <c r="R11">
        <v>1</v>
      </c>
      <c r="S11">
        <v>277</v>
      </c>
      <c r="T11">
        <v>472</v>
      </c>
      <c r="U11">
        <v>2</v>
      </c>
      <c r="V11">
        <v>0</v>
      </c>
      <c r="W11">
        <v>21762</v>
      </c>
      <c r="X11">
        <v>0</v>
      </c>
      <c r="Y11">
        <v>81604</v>
      </c>
      <c r="Z11" s="1">
        <v>0.495</v>
      </c>
      <c r="AA11">
        <v>1914</v>
      </c>
      <c r="AB11" s="3">
        <v>0.513194444444444</v>
      </c>
      <c r="AC11">
        <v>1</v>
      </c>
      <c r="AD11">
        <v>1296</v>
      </c>
      <c r="AE11">
        <v>5</v>
      </c>
      <c r="AF11">
        <v>850</v>
      </c>
      <c r="AG11">
        <v>2</v>
      </c>
      <c r="AH11">
        <v>5</v>
      </c>
    </row>
    <row r="14" spans="1:34">
      <c r="A14" t="s">
        <v>90</v>
      </c>
      <c r="B14" s="4">
        <v>8798951370</v>
      </c>
      <c r="C14" s="4"/>
    </row>
    <row r="15" spans="1:34">
      <c r="A15" t="s">
        <v>91</v>
      </c>
      <c r="B15" s="7" t="s">
        <v>92</v>
      </c>
    </row>
  </sheetData>
  <sortState ref="A2:AE11">
    <sortCondition ref="C2" descending="1"/>
  </sortState>
  <mergeCells count="1">
    <mergeCell ref="B14:C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5"/>
  <sheetViews>
    <sheetView workbookViewId="0">
      <pane xSplit="8" ySplit="1" topLeftCell="L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30" max="31" width="12.5" customWidth="1"/>
  </cols>
  <sheetData>
    <row r="1" spans="1:3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</row>
    <row r="2" spans="1:34">
      <c r="A2">
        <v>260505</v>
      </c>
      <c r="B2">
        <v>2</v>
      </c>
      <c r="C2" t="s">
        <v>83</v>
      </c>
      <c r="D2" t="s">
        <v>77</v>
      </c>
      <c r="E2">
        <v>36</v>
      </c>
      <c r="F2" t="s">
        <v>20</v>
      </c>
      <c r="G2">
        <v>5.5</v>
      </c>
      <c r="H2" t="s">
        <v>93</v>
      </c>
      <c r="I2">
        <v>1</v>
      </c>
      <c r="J2">
        <v>25</v>
      </c>
      <c r="K2">
        <v>12</v>
      </c>
      <c r="L2">
        <v>4</v>
      </c>
      <c r="M2">
        <v>11</v>
      </c>
      <c r="N2" s="1">
        <v>0.639</v>
      </c>
      <c r="O2" s="1">
        <v>0.318</v>
      </c>
      <c r="P2">
        <v>29477</v>
      </c>
      <c r="Q2">
        <v>435</v>
      </c>
      <c r="R2">
        <v>5</v>
      </c>
      <c r="S2">
        <v>744</v>
      </c>
      <c r="T2">
        <v>878</v>
      </c>
      <c r="U2">
        <v>2</v>
      </c>
      <c r="V2">
        <v>17731</v>
      </c>
      <c r="W2">
        <v>45321</v>
      </c>
      <c r="X2">
        <v>16646</v>
      </c>
      <c r="Y2">
        <v>39358</v>
      </c>
      <c r="Z2" s="1">
        <v>0.467</v>
      </c>
      <c r="AA2">
        <v>1312</v>
      </c>
      <c r="AB2" s="3">
        <v>0.15625</v>
      </c>
      <c r="AC2">
        <v>5</v>
      </c>
      <c r="AD2">
        <v>4307</v>
      </c>
      <c r="AE2">
        <v>7</v>
      </c>
      <c r="AF2">
        <v>0</v>
      </c>
      <c r="AG2">
        <v>2</v>
      </c>
      <c r="AH2">
        <v>0</v>
      </c>
    </row>
    <row r="3" spans="1:34">
      <c r="A3">
        <v>260505</v>
      </c>
      <c r="B3">
        <v>2</v>
      </c>
      <c r="C3" t="s">
        <v>83</v>
      </c>
      <c r="D3" t="s">
        <v>77</v>
      </c>
      <c r="E3">
        <v>36</v>
      </c>
      <c r="F3" t="s">
        <v>13</v>
      </c>
      <c r="G3">
        <v>7.5</v>
      </c>
      <c r="H3" t="s">
        <v>85</v>
      </c>
      <c r="I3">
        <v>2</v>
      </c>
      <c r="J3">
        <v>25</v>
      </c>
      <c r="K3">
        <v>16</v>
      </c>
      <c r="L3">
        <v>2</v>
      </c>
      <c r="M3">
        <v>13</v>
      </c>
      <c r="N3" s="1">
        <v>0.806</v>
      </c>
      <c r="O3" s="1">
        <v>0.309</v>
      </c>
      <c r="P3">
        <v>26879</v>
      </c>
      <c r="Q3">
        <v>325</v>
      </c>
      <c r="R3">
        <v>10</v>
      </c>
      <c r="S3">
        <v>689</v>
      </c>
      <c r="T3">
        <v>853</v>
      </c>
      <c r="U3">
        <v>6</v>
      </c>
      <c r="V3">
        <v>0</v>
      </c>
      <c r="W3">
        <v>43978</v>
      </c>
      <c r="X3">
        <v>8718</v>
      </c>
      <c r="Y3">
        <v>58323</v>
      </c>
      <c r="Z3" s="1">
        <v>0.51</v>
      </c>
      <c r="AA3">
        <v>675</v>
      </c>
      <c r="AB3" s="3">
        <v>0.0847222222222222</v>
      </c>
      <c r="AC3">
        <v>2</v>
      </c>
      <c r="AD3">
        <v>3256</v>
      </c>
      <c r="AE3">
        <v>7</v>
      </c>
      <c r="AF3">
        <v>130</v>
      </c>
      <c r="AG3">
        <v>1</v>
      </c>
      <c r="AH3">
        <v>0</v>
      </c>
    </row>
    <row r="4" spans="1:34">
      <c r="A4">
        <v>260505</v>
      </c>
      <c r="B4">
        <v>2</v>
      </c>
      <c r="C4" t="s">
        <v>83</v>
      </c>
      <c r="D4" t="s">
        <v>77</v>
      </c>
      <c r="E4">
        <v>36</v>
      </c>
      <c r="F4" t="s">
        <v>36</v>
      </c>
      <c r="G4">
        <v>4.5</v>
      </c>
      <c r="H4" t="s">
        <v>87</v>
      </c>
      <c r="I4">
        <v>3</v>
      </c>
      <c r="J4">
        <v>21</v>
      </c>
      <c r="K4">
        <v>4</v>
      </c>
      <c r="L4">
        <v>5</v>
      </c>
      <c r="M4">
        <v>10</v>
      </c>
      <c r="N4" s="1">
        <v>0.389</v>
      </c>
      <c r="O4" s="1">
        <v>0.157</v>
      </c>
      <c r="P4">
        <v>17223</v>
      </c>
      <c r="Q4">
        <v>170</v>
      </c>
      <c r="R4">
        <v>3</v>
      </c>
      <c r="S4">
        <v>436</v>
      </c>
      <c r="T4">
        <v>616</v>
      </c>
      <c r="U4">
        <v>0</v>
      </c>
      <c r="V4">
        <v>3329</v>
      </c>
      <c r="W4">
        <v>22332</v>
      </c>
      <c r="X4">
        <v>3930</v>
      </c>
      <c r="Y4">
        <v>47941</v>
      </c>
      <c r="Z4" s="1">
        <v>0.446</v>
      </c>
      <c r="AA4">
        <v>1110</v>
      </c>
      <c r="AB4" s="3">
        <v>0.155555555555556</v>
      </c>
      <c r="AC4">
        <v>6</v>
      </c>
      <c r="AD4">
        <v>3082</v>
      </c>
      <c r="AE4">
        <v>6</v>
      </c>
      <c r="AF4">
        <v>80</v>
      </c>
      <c r="AG4">
        <v>0</v>
      </c>
      <c r="AH4">
        <v>0</v>
      </c>
    </row>
    <row r="5" spans="1:34">
      <c r="A5">
        <v>260505</v>
      </c>
      <c r="B5">
        <v>2</v>
      </c>
      <c r="C5" t="s">
        <v>83</v>
      </c>
      <c r="D5" t="s">
        <v>77</v>
      </c>
      <c r="E5">
        <v>36</v>
      </c>
      <c r="F5" t="s">
        <v>22</v>
      </c>
      <c r="G5">
        <v>4.5</v>
      </c>
      <c r="H5" t="s">
        <v>94</v>
      </c>
      <c r="I5">
        <v>5</v>
      </c>
      <c r="J5">
        <v>18</v>
      </c>
      <c r="K5">
        <v>4</v>
      </c>
      <c r="L5">
        <v>8</v>
      </c>
      <c r="M5">
        <v>21</v>
      </c>
      <c r="N5" s="1">
        <v>0.694</v>
      </c>
      <c r="O5" s="1">
        <v>0.099</v>
      </c>
      <c r="P5">
        <v>14099</v>
      </c>
      <c r="Q5">
        <v>46</v>
      </c>
      <c r="R5">
        <v>0</v>
      </c>
      <c r="S5">
        <v>354</v>
      </c>
      <c r="T5">
        <v>447</v>
      </c>
      <c r="U5">
        <v>1</v>
      </c>
      <c r="V5">
        <v>0</v>
      </c>
      <c r="W5">
        <v>14146</v>
      </c>
      <c r="X5">
        <v>140</v>
      </c>
      <c r="Y5">
        <v>25944</v>
      </c>
      <c r="Z5" s="1">
        <v>0.467</v>
      </c>
      <c r="AA5">
        <v>1521</v>
      </c>
      <c r="AB5" s="3">
        <v>0.224305555555556</v>
      </c>
      <c r="AC5">
        <v>1</v>
      </c>
      <c r="AD5">
        <v>2546</v>
      </c>
      <c r="AE5">
        <v>5</v>
      </c>
      <c r="AF5">
        <v>950</v>
      </c>
      <c r="AG5">
        <v>1</v>
      </c>
      <c r="AH5">
        <v>5</v>
      </c>
    </row>
    <row r="6" spans="1:34">
      <c r="A6">
        <v>260505</v>
      </c>
      <c r="B6">
        <v>2</v>
      </c>
      <c r="C6" t="s">
        <v>83</v>
      </c>
      <c r="D6" t="s">
        <v>77</v>
      </c>
      <c r="E6">
        <v>36</v>
      </c>
      <c r="F6" t="s">
        <v>28</v>
      </c>
      <c r="G6">
        <v>6</v>
      </c>
      <c r="H6" t="s">
        <v>95</v>
      </c>
      <c r="I6">
        <v>4</v>
      </c>
      <c r="J6">
        <v>20</v>
      </c>
      <c r="K6">
        <v>0</v>
      </c>
      <c r="L6">
        <v>4</v>
      </c>
      <c r="M6">
        <v>24</v>
      </c>
      <c r="N6" s="1">
        <v>0.667</v>
      </c>
      <c r="O6" s="1">
        <v>0.117</v>
      </c>
      <c r="P6">
        <v>12186</v>
      </c>
      <c r="Q6">
        <v>57</v>
      </c>
      <c r="R6">
        <v>2</v>
      </c>
      <c r="S6">
        <v>326</v>
      </c>
      <c r="T6">
        <v>530</v>
      </c>
      <c r="U6">
        <v>5</v>
      </c>
      <c r="V6">
        <v>5209</v>
      </c>
      <c r="W6">
        <v>16726</v>
      </c>
      <c r="X6">
        <v>429</v>
      </c>
      <c r="Y6">
        <v>20596</v>
      </c>
      <c r="Z6" s="1">
        <v>0.381</v>
      </c>
      <c r="AA6">
        <v>237</v>
      </c>
      <c r="AB6" s="3">
        <v>0.0784722222222222</v>
      </c>
      <c r="AC6">
        <v>9</v>
      </c>
      <c r="AD6">
        <v>1590</v>
      </c>
      <c r="AE6">
        <v>5</v>
      </c>
      <c r="AF6">
        <v>1830</v>
      </c>
      <c r="AG6">
        <v>1</v>
      </c>
      <c r="AH6">
        <v>10</v>
      </c>
    </row>
    <row r="7" spans="1:34">
      <c r="A7">
        <v>260505</v>
      </c>
      <c r="B7">
        <v>2</v>
      </c>
      <c r="C7" t="s">
        <v>76</v>
      </c>
      <c r="D7" t="s">
        <v>84</v>
      </c>
      <c r="E7">
        <v>23</v>
      </c>
      <c r="F7" t="s">
        <v>30</v>
      </c>
      <c r="G7">
        <v>8</v>
      </c>
      <c r="H7" t="s">
        <v>96</v>
      </c>
      <c r="I7">
        <v>2</v>
      </c>
      <c r="J7">
        <v>21</v>
      </c>
      <c r="K7">
        <v>13</v>
      </c>
      <c r="L7">
        <v>10</v>
      </c>
      <c r="M7">
        <v>3</v>
      </c>
      <c r="N7" s="1">
        <v>0.696</v>
      </c>
      <c r="O7" s="1">
        <v>0.402</v>
      </c>
      <c r="P7">
        <v>18588</v>
      </c>
      <c r="Q7">
        <v>299</v>
      </c>
      <c r="R7">
        <v>4</v>
      </c>
      <c r="S7">
        <v>551</v>
      </c>
      <c r="T7">
        <v>581</v>
      </c>
      <c r="U7">
        <v>1</v>
      </c>
      <c r="V7">
        <v>4085</v>
      </c>
      <c r="W7">
        <v>42145</v>
      </c>
      <c r="X7">
        <v>1299</v>
      </c>
      <c r="Y7">
        <v>66879</v>
      </c>
      <c r="Z7" s="1">
        <v>0.428</v>
      </c>
      <c r="AA7">
        <v>2948</v>
      </c>
      <c r="AB7" s="3">
        <v>0.378472222222222</v>
      </c>
      <c r="AC7">
        <v>7</v>
      </c>
      <c r="AD7">
        <v>5147</v>
      </c>
      <c r="AE7">
        <v>9</v>
      </c>
      <c r="AF7">
        <v>1000</v>
      </c>
      <c r="AG7">
        <v>4</v>
      </c>
      <c r="AH7">
        <v>4</v>
      </c>
    </row>
    <row r="8" spans="1:34">
      <c r="A8">
        <v>260505</v>
      </c>
      <c r="B8">
        <v>2</v>
      </c>
      <c r="C8" t="s">
        <v>76</v>
      </c>
      <c r="D8" t="s">
        <v>84</v>
      </c>
      <c r="E8">
        <v>23</v>
      </c>
      <c r="F8" t="s">
        <v>19</v>
      </c>
      <c r="G8">
        <v>10</v>
      </c>
      <c r="H8" t="s">
        <v>86</v>
      </c>
      <c r="I8">
        <v>1</v>
      </c>
      <c r="J8">
        <v>23</v>
      </c>
      <c r="K8">
        <v>5</v>
      </c>
      <c r="L8">
        <v>0</v>
      </c>
      <c r="M8">
        <v>9</v>
      </c>
      <c r="N8" s="1">
        <v>0.609</v>
      </c>
      <c r="O8" s="1">
        <v>0.199</v>
      </c>
      <c r="P8">
        <v>29734</v>
      </c>
      <c r="Q8">
        <v>488</v>
      </c>
      <c r="R8">
        <v>9</v>
      </c>
      <c r="S8">
        <v>726</v>
      </c>
      <c r="T8">
        <v>744</v>
      </c>
      <c r="U8">
        <v>2</v>
      </c>
      <c r="V8">
        <v>0</v>
      </c>
      <c r="W8">
        <v>20801</v>
      </c>
      <c r="X8">
        <v>6991</v>
      </c>
      <c r="Y8">
        <v>81751</v>
      </c>
      <c r="Z8" s="1">
        <v>0.446</v>
      </c>
      <c r="AA8">
        <v>0</v>
      </c>
      <c r="AB8" s="3">
        <v>0</v>
      </c>
      <c r="AC8">
        <v>10</v>
      </c>
      <c r="AD8">
        <v>4630</v>
      </c>
      <c r="AE8">
        <v>8</v>
      </c>
      <c r="AF8">
        <v>0</v>
      </c>
      <c r="AG8">
        <v>0</v>
      </c>
      <c r="AH8">
        <v>2</v>
      </c>
    </row>
    <row r="9" spans="1:34">
      <c r="A9">
        <v>260505</v>
      </c>
      <c r="B9">
        <v>2</v>
      </c>
      <c r="C9" t="s">
        <v>76</v>
      </c>
      <c r="D9" t="s">
        <v>84</v>
      </c>
      <c r="E9">
        <v>23</v>
      </c>
      <c r="F9" t="s">
        <v>25</v>
      </c>
      <c r="G9">
        <v>5.5</v>
      </c>
      <c r="H9" t="s">
        <v>97</v>
      </c>
      <c r="I9">
        <v>3</v>
      </c>
      <c r="J9">
        <v>22</v>
      </c>
      <c r="K9">
        <v>2</v>
      </c>
      <c r="L9">
        <v>8</v>
      </c>
      <c r="M9">
        <v>11</v>
      </c>
      <c r="N9" s="1">
        <v>0.565</v>
      </c>
      <c r="O9" s="1">
        <v>0.225</v>
      </c>
      <c r="P9">
        <v>17025</v>
      </c>
      <c r="Q9">
        <v>271</v>
      </c>
      <c r="R9">
        <v>2</v>
      </c>
      <c r="S9">
        <v>448</v>
      </c>
      <c r="T9">
        <v>628</v>
      </c>
      <c r="U9">
        <v>2</v>
      </c>
      <c r="V9">
        <v>0</v>
      </c>
      <c r="W9">
        <v>23539</v>
      </c>
      <c r="X9">
        <v>314</v>
      </c>
      <c r="Y9">
        <v>77516</v>
      </c>
      <c r="Z9" s="1">
        <v>0.607</v>
      </c>
      <c r="AA9">
        <v>1434</v>
      </c>
      <c r="AB9" s="3">
        <v>0.232638888888889</v>
      </c>
      <c r="AC9">
        <v>4</v>
      </c>
      <c r="AD9">
        <v>3685</v>
      </c>
      <c r="AE9">
        <v>6</v>
      </c>
      <c r="AF9">
        <v>0</v>
      </c>
      <c r="AG9">
        <v>4</v>
      </c>
      <c r="AH9">
        <v>3</v>
      </c>
    </row>
    <row r="10" spans="1:34">
      <c r="A10">
        <v>260505</v>
      </c>
      <c r="B10">
        <v>2</v>
      </c>
      <c r="C10" t="s">
        <v>76</v>
      </c>
      <c r="D10" t="s">
        <v>84</v>
      </c>
      <c r="E10">
        <v>23</v>
      </c>
      <c r="F10" t="s">
        <v>41</v>
      </c>
      <c r="G10">
        <v>2</v>
      </c>
      <c r="H10" t="s">
        <v>79</v>
      </c>
      <c r="I10">
        <v>5</v>
      </c>
      <c r="J10">
        <v>17</v>
      </c>
      <c r="K10">
        <v>2</v>
      </c>
      <c r="L10">
        <v>6</v>
      </c>
      <c r="M10">
        <v>10</v>
      </c>
      <c r="N10" s="1">
        <v>0.522</v>
      </c>
      <c r="O10" s="1">
        <v>0.078</v>
      </c>
      <c r="P10">
        <v>9356</v>
      </c>
      <c r="Q10">
        <v>40</v>
      </c>
      <c r="R10">
        <v>4</v>
      </c>
      <c r="S10">
        <v>271</v>
      </c>
      <c r="T10">
        <v>397</v>
      </c>
      <c r="U10">
        <v>1</v>
      </c>
      <c r="V10">
        <v>0</v>
      </c>
      <c r="W10">
        <v>8183</v>
      </c>
      <c r="X10">
        <v>0</v>
      </c>
      <c r="Y10">
        <v>17560</v>
      </c>
      <c r="Z10" s="1">
        <v>0.409</v>
      </c>
      <c r="AA10">
        <v>532</v>
      </c>
      <c r="AB10" s="3">
        <v>0.151388888888889</v>
      </c>
      <c r="AC10">
        <v>3</v>
      </c>
      <c r="AD10">
        <v>1778</v>
      </c>
      <c r="AE10">
        <v>5</v>
      </c>
      <c r="AF10">
        <v>450</v>
      </c>
      <c r="AG10">
        <v>2</v>
      </c>
      <c r="AH10">
        <v>5</v>
      </c>
    </row>
    <row r="11" spans="1:34">
      <c r="A11">
        <v>260505</v>
      </c>
      <c r="B11">
        <v>2</v>
      </c>
      <c r="C11" t="s">
        <v>76</v>
      </c>
      <c r="D11" t="s">
        <v>84</v>
      </c>
      <c r="E11">
        <v>23</v>
      </c>
      <c r="F11" t="s">
        <v>38</v>
      </c>
      <c r="G11">
        <v>3</v>
      </c>
      <c r="H11" t="s">
        <v>98</v>
      </c>
      <c r="I11">
        <v>4</v>
      </c>
      <c r="J11">
        <v>18</v>
      </c>
      <c r="K11">
        <v>1</v>
      </c>
      <c r="L11">
        <v>12</v>
      </c>
      <c r="M11">
        <v>8</v>
      </c>
      <c r="N11" s="1">
        <v>0.391</v>
      </c>
      <c r="O11" s="1">
        <v>0.096</v>
      </c>
      <c r="P11">
        <v>10122</v>
      </c>
      <c r="Q11">
        <v>46</v>
      </c>
      <c r="R11">
        <v>2</v>
      </c>
      <c r="S11">
        <v>299</v>
      </c>
      <c r="T11">
        <v>423</v>
      </c>
      <c r="U11">
        <v>1</v>
      </c>
      <c r="V11">
        <v>0</v>
      </c>
      <c r="W11">
        <v>10080</v>
      </c>
      <c r="X11">
        <v>141</v>
      </c>
      <c r="Y11">
        <v>30864</v>
      </c>
      <c r="Z11" s="1">
        <v>0.415</v>
      </c>
      <c r="AA11">
        <v>1092</v>
      </c>
      <c r="AB11" s="3">
        <v>0.278472222222222</v>
      </c>
      <c r="AC11">
        <v>8</v>
      </c>
      <c r="AD11">
        <v>1679</v>
      </c>
      <c r="AE11">
        <v>5</v>
      </c>
      <c r="AF11">
        <v>930</v>
      </c>
      <c r="AG11">
        <v>0</v>
      </c>
      <c r="AH11">
        <v>9</v>
      </c>
    </row>
    <row r="14" spans="1:34">
      <c r="A14" t="s">
        <v>90</v>
      </c>
      <c r="B14" s="4">
        <v>8799030762</v>
      </c>
      <c r="C14" s="4"/>
    </row>
    <row r="15" spans="1:34">
      <c r="A15" t="s">
        <v>91</v>
      </c>
      <c r="B15" s="7" t="s">
        <v>99</v>
      </c>
    </row>
  </sheetData>
  <sortState ref="A2:AH11">
    <sortCondition ref="C2:C11"/>
  </sortState>
  <mergeCells count="1">
    <mergeCell ref="B14:C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K2" activePane="bottomRight" state="frozen"/>
      <selection/>
      <selection pane="topRight"/>
      <selection pane="bottomLeft"/>
      <selection pane="bottomRight" activeCell="F11" sqref="F11"/>
    </sheetView>
  </sheetViews>
  <sheetFormatPr defaultColWidth="9.25" defaultRowHeight="16.8"/>
  <cols>
    <col min="31" max="31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260506</v>
      </c>
      <c r="B2">
        <v>1</v>
      </c>
      <c r="C2" t="s">
        <v>83</v>
      </c>
      <c r="D2" t="s">
        <v>77</v>
      </c>
      <c r="E2">
        <v>35</v>
      </c>
      <c r="F2" t="s">
        <v>19</v>
      </c>
      <c r="G2">
        <v>10</v>
      </c>
      <c r="H2" t="s">
        <v>101</v>
      </c>
      <c r="I2">
        <v>2</v>
      </c>
      <c r="J2">
        <v>22</v>
      </c>
      <c r="K2">
        <v>14</v>
      </c>
      <c r="L2">
        <v>4</v>
      </c>
      <c r="M2">
        <v>14</v>
      </c>
      <c r="N2" s="1">
        <v>0.8</v>
      </c>
      <c r="O2" s="1">
        <v>0.314</v>
      </c>
      <c r="P2">
        <v>22048</v>
      </c>
      <c r="Q2">
        <v>346</v>
      </c>
      <c r="R2">
        <v>0</v>
      </c>
      <c r="S2">
        <v>719</v>
      </c>
      <c r="T2">
        <v>889</v>
      </c>
      <c r="U2">
        <v>3</v>
      </c>
      <c r="V2">
        <v>0</v>
      </c>
      <c r="W2">
        <v>0</v>
      </c>
      <c r="X2">
        <v>28522</v>
      </c>
      <c r="Y2">
        <v>533</v>
      </c>
      <c r="Z2">
        <v>25513</v>
      </c>
      <c r="AA2" s="1">
        <v>0.449</v>
      </c>
      <c r="AB2">
        <v>391</v>
      </c>
      <c r="AC2" s="3">
        <v>0.0715277777777778</v>
      </c>
      <c r="AD2">
        <v>9</v>
      </c>
      <c r="AE2">
        <v>5071</v>
      </c>
      <c r="AF2">
        <v>9</v>
      </c>
      <c r="AG2">
        <v>200</v>
      </c>
      <c r="AH2">
        <v>1</v>
      </c>
      <c r="AI2">
        <v>3</v>
      </c>
    </row>
    <row r="3" spans="1:35">
      <c r="A3">
        <v>260506</v>
      </c>
      <c r="B3">
        <v>1</v>
      </c>
      <c r="C3" t="s">
        <v>83</v>
      </c>
      <c r="D3" t="s">
        <v>77</v>
      </c>
      <c r="E3">
        <v>35</v>
      </c>
      <c r="F3" t="s">
        <v>13</v>
      </c>
      <c r="G3" t="e">
        <f>VLOOKUP(F3,选手工资!A4:B31,2,FALSE)</f>
        <v>#N/A</v>
      </c>
      <c r="H3" t="s">
        <v>82</v>
      </c>
      <c r="I3">
        <v>1</v>
      </c>
      <c r="J3">
        <v>22</v>
      </c>
      <c r="K3">
        <v>14</v>
      </c>
      <c r="L3">
        <v>1</v>
      </c>
      <c r="M3">
        <v>11</v>
      </c>
      <c r="N3" s="1">
        <v>0.714</v>
      </c>
      <c r="O3" s="1">
        <v>0.327</v>
      </c>
      <c r="P3">
        <v>21250</v>
      </c>
      <c r="Q3">
        <v>336</v>
      </c>
      <c r="R3">
        <v>10</v>
      </c>
      <c r="S3">
        <v>699</v>
      </c>
      <c r="T3">
        <v>833</v>
      </c>
      <c r="U3">
        <v>2</v>
      </c>
      <c r="V3">
        <v>0</v>
      </c>
      <c r="W3">
        <v>0</v>
      </c>
      <c r="X3">
        <v>29732</v>
      </c>
      <c r="Y3">
        <v>7271</v>
      </c>
      <c r="Z3">
        <v>34770</v>
      </c>
      <c r="AA3" s="1">
        <v>0.365</v>
      </c>
      <c r="AB3">
        <v>19</v>
      </c>
      <c r="AC3" s="3">
        <v>0.0125</v>
      </c>
      <c r="AD3">
        <v>2</v>
      </c>
      <c r="AE3">
        <v>4899</v>
      </c>
      <c r="AF3">
        <v>8</v>
      </c>
      <c r="AG3">
        <v>0</v>
      </c>
      <c r="AH3">
        <v>0</v>
      </c>
      <c r="AI3">
        <v>0</v>
      </c>
    </row>
    <row r="4" spans="1:35">
      <c r="A4">
        <v>260506</v>
      </c>
      <c r="B4">
        <v>1</v>
      </c>
      <c r="C4" t="s">
        <v>83</v>
      </c>
      <c r="D4" t="s">
        <v>77</v>
      </c>
      <c r="E4">
        <v>35</v>
      </c>
      <c r="F4" t="s">
        <v>36</v>
      </c>
      <c r="G4">
        <f>VLOOKUP(F4,选手工资!A2:B29,2,FALSE)</f>
        <v>4.5</v>
      </c>
      <c r="H4" t="s">
        <v>87</v>
      </c>
      <c r="I4">
        <v>3</v>
      </c>
      <c r="J4">
        <v>16</v>
      </c>
      <c r="K4">
        <v>2</v>
      </c>
      <c r="L4">
        <v>3</v>
      </c>
      <c r="M4">
        <v>15</v>
      </c>
      <c r="N4" s="1">
        <v>0.486</v>
      </c>
      <c r="O4" s="1">
        <v>0.113</v>
      </c>
      <c r="P4">
        <v>11919</v>
      </c>
      <c r="Q4">
        <v>178</v>
      </c>
      <c r="R4">
        <v>6</v>
      </c>
      <c r="S4">
        <v>380</v>
      </c>
      <c r="T4">
        <v>465</v>
      </c>
      <c r="U4">
        <v>3</v>
      </c>
      <c r="V4">
        <v>3924</v>
      </c>
      <c r="W4">
        <v>1</v>
      </c>
      <c r="X4">
        <v>10310</v>
      </c>
      <c r="Y4">
        <v>1319</v>
      </c>
      <c r="Z4">
        <v>31681</v>
      </c>
      <c r="AA4" s="1">
        <v>0.423</v>
      </c>
      <c r="AB4">
        <v>261</v>
      </c>
      <c r="AC4" s="3">
        <v>0.0493055555555556</v>
      </c>
      <c r="AD4">
        <v>5</v>
      </c>
      <c r="AE4">
        <v>3125</v>
      </c>
      <c r="AF4">
        <v>6</v>
      </c>
      <c r="AG4">
        <v>0</v>
      </c>
      <c r="AH4">
        <v>0</v>
      </c>
      <c r="AI4">
        <v>0</v>
      </c>
    </row>
    <row r="5" spans="1:35">
      <c r="A5">
        <v>260506</v>
      </c>
      <c r="B5">
        <v>1</v>
      </c>
      <c r="C5" t="s">
        <v>83</v>
      </c>
      <c r="D5" t="s">
        <v>77</v>
      </c>
      <c r="E5">
        <v>35</v>
      </c>
      <c r="F5" t="s">
        <v>41</v>
      </c>
      <c r="G5" t="e">
        <f>VLOOKUP(F5,选手工资!A1:B28,2,FALSE)</f>
        <v>#N/A</v>
      </c>
      <c r="H5" t="s">
        <v>94</v>
      </c>
      <c r="I5">
        <v>5</v>
      </c>
      <c r="J5">
        <v>15</v>
      </c>
      <c r="K5">
        <v>1</v>
      </c>
      <c r="L5">
        <v>5</v>
      </c>
      <c r="M5">
        <v>21</v>
      </c>
      <c r="N5" s="1">
        <v>0.629</v>
      </c>
      <c r="O5" s="1">
        <v>0.073</v>
      </c>
      <c r="P5">
        <v>7287</v>
      </c>
      <c r="Q5">
        <v>16</v>
      </c>
      <c r="R5">
        <v>0</v>
      </c>
      <c r="S5">
        <v>258</v>
      </c>
      <c r="T5">
        <v>425</v>
      </c>
      <c r="U5">
        <v>2</v>
      </c>
      <c r="V5">
        <v>0</v>
      </c>
      <c r="W5">
        <v>0</v>
      </c>
      <c r="X5">
        <v>6642</v>
      </c>
      <c r="Y5">
        <v>16</v>
      </c>
      <c r="Z5">
        <v>14809</v>
      </c>
      <c r="AA5" s="1">
        <v>0.311</v>
      </c>
      <c r="AB5">
        <v>256</v>
      </c>
      <c r="AC5" s="3">
        <v>0.0673611111111111</v>
      </c>
      <c r="AD5">
        <v>1</v>
      </c>
      <c r="AE5">
        <v>1785</v>
      </c>
      <c r="AF5">
        <v>5</v>
      </c>
      <c r="AG5">
        <v>400</v>
      </c>
      <c r="AH5">
        <v>7</v>
      </c>
      <c r="AI5">
        <v>3</v>
      </c>
    </row>
    <row r="6" spans="1:35">
      <c r="A6">
        <v>260506</v>
      </c>
      <c r="B6">
        <v>1</v>
      </c>
      <c r="C6" t="s">
        <v>83</v>
      </c>
      <c r="D6" t="s">
        <v>77</v>
      </c>
      <c r="E6">
        <v>35</v>
      </c>
      <c r="F6" t="s">
        <v>28</v>
      </c>
      <c r="G6">
        <f>VLOOKUP(F6,选手工资!A5:B32,2,FALSE)</f>
        <v>6</v>
      </c>
      <c r="H6" t="s">
        <v>102</v>
      </c>
      <c r="I6">
        <v>4</v>
      </c>
      <c r="J6">
        <v>17</v>
      </c>
      <c r="K6">
        <v>4</v>
      </c>
      <c r="L6">
        <v>5</v>
      </c>
      <c r="M6">
        <v>18</v>
      </c>
      <c r="N6" s="1">
        <v>0.629</v>
      </c>
      <c r="O6" s="1">
        <v>0.173</v>
      </c>
      <c r="P6">
        <v>12144</v>
      </c>
      <c r="Q6">
        <v>81</v>
      </c>
      <c r="R6">
        <v>2</v>
      </c>
      <c r="S6">
        <v>367</v>
      </c>
      <c r="T6">
        <v>552</v>
      </c>
      <c r="U6">
        <v>0</v>
      </c>
      <c r="V6">
        <v>0</v>
      </c>
      <c r="W6">
        <v>0</v>
      </c>
      <c r="X6">
        <v>15758</v>
      </c>
      <c r="Y6">
        <v>1533</v>
      </c>
      <c r="Z6">
        <v>15420</v>
      </c>
      <c r="AA6" s="1">
        <v>0.318</v>
      </c>
      <c r="AB6">
        <v>150</v>
      </c>
      <c r="AC6" s="3">
        <v>0.0791666666666667</v>
      </c>
      <c r="AD6">
        <v>6</v>
      </c>
      <c r="AE6">
        <v>1722</v>
      </c>
      <c r="AF6">
        <v>5</v>
      </c>
      <c r="AG6">
        <v>450</v>
      </c>
      <c r="AH6">
        <v>2</v>
      </c>
      <c r="AI6">
        <v>5</v>
      </c>
    </row>
    <row r="7" spans="1:35">
      <c r="A7">
        <v>260506</v>
      </c>
      <c r="B7">
        <v>1</v>
      </c>
      <c r="C7" t="s">
        <v>76</v>
      </c>
      <c r="D7" t="s">
        <v>84</v>
      </c>
      <c r="E7">
        <v>18</v>
      </c>
      <c r="F7" t="s">
        <v>30</v>
      </c>
      <c r="G7">
        <v>8</v>
      </c>
      <c r="H7" t="s">
        <v>103</v>
      </c>
      <c r="I7">
        <v>2</v>
      </c>
      <c r="J7">
        <v>18</v>
      </c>
      <c r="K7">
        <v>3</v>
      </c>
      <c r="L7">
        <v>6</v>
      </c>
      <c r="M7">
        <v>11</v>
      </c>
      <c r="N7" s="1">
        <v>0.778</v>
      </c>
      <c r="O7" s="1">
        <v>0.25</v>
      </c>
      <c r="P7">
        <v>13960</v>
      </c>
      <c r="Q7">
        <v>230</v>
      </c>
      <c r="R7">
        <v>5</v>
      </c>
      <c r="S7">
        <v>486</v>
      </c>
      <c r="T7">
        <v>603</v>
      </c>
      <c r="U7">
        <v>2</v>
      </c>
      <c r="V7">
        <v>0</v>
      </c>
      <c r="W7">
        <v>0</v>
      </c>
      <c r="X7">
        <v>18815</v>
      </c>
      <c r="Y7">
        <v>287</v>
      </c>
      <c r="Z7">
        <v>32315</v>
      </c>
      <c r="AA7" s="1">
        <v>0.476</v>
      </c>
      <c r="AB7">
        <v>1327</v>
      </c>
      <c r="AC7" s="3">
        <v>0.146527777777778</v>
      </c>
      <c r="AD7">
        <v>10</v>
      </c>
      <c r="AE7">
        <v>4455</v>
      </c>
      <c r="AF7">
        <v>9</v>
      </c>
      <c r="AG7">
        <v>290</v>
      </c>
      <c r="AH7">
        <v>0</v>
      </c>
      <c r="AI7">
        <v>2</v>
      </c>
    </row>
    <row r="8" spans="1:35">
      <c r="A8">
        <v>260506</v>
      </c>
      <c r="B8">
        <v>1</v>
      </c>
      <c r="C8" t="s">
        <v>76</v>
      </c>
      <c r="D8" t="s">
        <v>84</v>
      </c>
      <c r="E8">
        <v>18</v>
      </c>
      <c r="F8" t="s">
        <v>14</v>
      </c>
      <c r="G8">
        <v>8</v>
      </c>
      <c r="H8" t="s">
        <v>104</v>
      </c>
      <c r="I8">
        <v>3</v>
      </c>
      <c r="J8">
        <v>17</v>
      </c>
      <c r="K8">
        <v>3</v>
      </c>
      <c r="L8">
        <v>8</v>
      </c>
      <c r="M8">
        <v>7</v>
      </c>
      <c r="N8" s="1">
        <v>0.556</v>
      </c>
      <c r="O8" s="1">
        <v>0.333</v>
      </c>
      <c r="P8">
        <v>13299</v>
      </c>
      <c r="Q8">
        <v>238</v>
      </c>
      <c r="R8">
        <v>13</v>
      </c>
      <c r="S8">
        <v>446</v>
      </c>
      <c r="T8">
        <v>531</v>
      </c>
      <c r="U8">
        <v>1</v>
      </c>
      <c r="V8">
        <v>0</v>
      </c>
      <c r="W8">
        <v>0</v>
      </c>
      <c r="X8">
        <v>25006</v>
      </c>
      <c r="Y8">
        <v>316</v>
      </c>
      <c r="Z8">
        <v>70756</v>
      </c>
      <c r="AA8" s="1">
        <v>0.57</v>
      </c>
      <c r="AB8">
        <v>676</v>
      </c>
      <c r="AC8" s="3">
        <v>0.165972222222222</v>
      </c>
      <c r="AD8">
        <v>3</v>
      </c>
      <c r="AE8">
        <v>3973</v>
      </c>
      <c r="AF8">
        <v>7</v>
      </c>
      <c r="AG8">
        <v>0</v>
      </c>
      <c r="AH8">
        <v>3</v>
      </c>
      <c r="AI8">
        <v>3</v>
      </c>
    </row>
    <row r="9" spans="1:35">
      <c r="A9">
        <v>260506</v>
      </c>
      <c r="B9">
        <v>1</v>
      </c>
      <c r="C9" t="s">
        <v>76</v>
      </c>
      <c r="D9" t="s">
        <v>84</v>
      </c>
      <c r="E9">
        <v>18</v>
      </c>
      <c r="F9" t="s">
        <v>20</v>
      </c>
      <c r="G9" t="e">
        <f>VLOOKUP(F9,选手工资!A10:B37,2,FALSE)</f>
        <v>#N/A</v>
      </c>
      <c r="H9" t="s">
        <v>105</v>
      </c>
      <c r="I9">
        <v>1</v>
      </c>
      <c r="J9">
        <v>16</v>
      </c>
      <c r="K9">
        <v>0</v>
      </c>
      <c r="L9">
        <v>6</v>
      </c>
      <c r="M9">
        <v>8</v>
      </c>
      <c r="N9" s="1">
        <v>0.444</v>
      </c>
      <c r="O9" s="1">
        <v>0.193</v>
      </c>
      <c r="P9">
        <v>13878</v>
      </c>
      <c r="Q9">
        <v>272</v>
      </c>
      <c r="R9">
        <v>8</v>
      </c>
      <c r="S9">
        <v>456</v>
      </c>
      <c r="T9">
        <v>457</v>
      </c>
      <c r="U9">
        <v>2</v>
      </c>
      <c r="V9">
        <v>0</v>
      </c>
      <c r="W9">
        <v>0</v>
      </c>
      <c r="X9">
        <v>14532</v>
      </c>
      <c r="Y9">
        <v>1380</v>
      </c>
      <c r="Z9">
        <v>36871</v>
      </c>
      <c r="AA9" s="1">
        <v>0.445</v>
      </c>
      <c r="AB9">
        <v>951</v>
      </c>
      <c r="AC9" s="3">
        <v>0.123611111111111</v>
      </c>
      <c r="AD9">
        <v>8</v>
      </c>
      <c r="AE9">
        <v>3669</v>
      </c>
      <c r="AF9">
        <v>6</v>
      </c>
      <c r="AG9">
        <v>0</v>
      </c>
      <c r="AH9">
        <v>3</v>
      </c>
      <c r="AI9">
        <v>0</v>
      </c>
    </row>
    <row r="10" spans="1:35">
      <c r="A10">
        <v>260506</v>
      </c>
      <c r="B10">
        <v>1</v>
      </c>
      <c r="C10" t="s">
        <v>76</v>
      </c>
      <c r="D10" t="s">
        <v>84</v>
      </c>
      <c r="E10">
        <v>18</v>
      </c>
      <c r="F10" t="s">
        <v>25</v>
      </c>
      <c r="G10">
        <f>VLOOKUP(F10,选手工资!A9:B36,2,FALSE)</f>
        <v>5.5</v>
      </c>
      <c r="H10" t="s">
        <v>106</v>
      </c>
      <c r="I10">
        <v>4</v>
      </c>
      <c r="J10">
        <v>12</v>
      </c>
      <c r="K10">
        <v>6</v>
      </c>
      <c r="L10">
        <v>8</v>
      </c>
      <c r="M10">
        <v>7</v>
      </c>
      <c r="N10" s="1">
        <v>0.722</v>
      </c>
      <c r="O10" s="1">
        <v>0.113</v>
      </c>
      <c r="P10">
        <v>5589</v>
      </c>
      <c r="Q10">
        <v>19</v>
      </c>
      <c r="R10">
        <v>5</v>
      </c>
      <c r="S10">
        <v>220</v>
      </c>
      <c r="T10">
        <v>269</v>
      </c>
      <c r="U10">
        <v>1</v>
      </c>
      <c r="V10">
        <v>0</v>
      </c>
      <c r="W10">
        <v>0</v>
      </c>
      <c r="X10">
        <v>8473</v>
      </c>
      <c r="Y10">
        <v>23</v>
      </c>
      <c r="Z10">
        <v>18469</v>
      </c>
      <c r="AA10" s="1">
        <v>0.35</v>
      </c>
      <c r="AB10">
        <v>632</v>
      </c>
      <c r="AC10" s="3">
        <v>0.178472222222222</v>
      </c>
      <c r="AD10">
        <v>4</v>
      </c>
      <c r="AE10">
        <v>1785</v>
      </c>
      <c r="AF10">
        <v>6</v>
      </c>
      <c r="AG10">
        <v>850</v>
      </c>
      <c r="AH10">
        <v>0</v>
      </c>
      <c r="AI10">
        <v>2</v>
      </c>
    </row>
    <row r="11" spans="1:35">
      <c r="A11">
        <v>260506</v>
      </c>
      <c r="B11">
        <v>1</v>
      </c>
      <c r="C11" t="s">
        <v>76</v>
      </c>
      <c r="D11" t="s">
        <v>84</v>
      </c>
      <c r="E11">
        <v>18</v>
      </c>
      <c r="F11" t="s">
        <v>35</v>
      </c>
      <c r="G11">
        <f>VLOOKUP(F11,选手工资!A8:B35,2,FALSE)</f>
        <v>3.5</v>
      </c>
      <c r="H11" t="s">
        <v>107</v>
      </c>
      <c r="I11">
        <v>5</v>
      </c>
      <c r="J11">
        <v>12</v>
      </c>
      <c r="K11">
        <v>6</v>
      </c>
      <c r="L11">
        <v>7</v>
      </c>
      <c r="M11">
        <v>3</v>
      </c>
      <c r="N11" s="1">
        <v>0.5</v>
      </c>
      <c r="O11" s="1">
        <v>0.111</v>
      </c>
      <c r="P11">
        <v>4582</v>
      </c>
      <c r="Q11">
        <v>21</v>
      </c>
      <c r="R11">
        <v>2</v>
      </c>
      <c r="S11">
        <v>214</v>
      </c>
      <c r="T11">
        <v>283</v>
      </c>
      <c r="U11">
        <v>1</v>
      </c>
      <c r="V11">
        <v>0</v>
      </c>
      <c r="W11">
        <v>0</v>
      </c>
      <c r="X11">
        <v>8330</v>
      </c>
      <c r="Y11">
        <v>0</v>
      </c>
      <c r="Z11">
        <v>16187</v>
      </c>
      <c r="AA11" s="1">
        <v>0.343</v>
      </c>
      <c r="AB11">
        <v>382</v>
      </c>
      <c r="AC11" s="3">
        <v>0.136805555555556</v>
      </c>
      <c r="AD11">
        <v>7</v>
      </c>
      <c r="AE11">
        <v>2249</v>
      </c>
      <c r="AF11">
        <v>5</v>
      </c>
      <c r="AG11">
        <v>1380</v>
      </c>
      <c r="AH11">
        <v>2</v>
      </c>
      <c r="AI11">
        <v>2</v>
      </c>
    </row>
    <row r="14" spans="1:35">
      <c r="A14" t="s">
        <v>90</v>
      </c>
      <c r="B14" s="4">
        <v>8800088420</v>
      </c>
      <c r="C14" s="4"/>
    </row>
    <row r="15" spans="1:35">
      <c r="A15" t="s">
        <v>91</v>
      </c>
      <c r="B15" s="7" t="s">
        <v>108</v>
      </c>
    </row>
  </sheetData>
  <sortState ref="A2:AF11">
    <sortCondition ref="D2" descending="1"/>
  </sortState>
  <mergeCells count="1">
    <mergeCell ref="B14:C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O2" activePane="bottomRight" state="frozen"/>
      <selection/>
      <selection pane="topRight"/>
      <selection pane="bottomLeft"/>
      <selection pane="bottomRight" activeCell="F10" sqref="F10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260506</v>
      </c>
      <c r="B2">
        <v>2</v>
      </c>
      <c r="C2" t="s">
        <v>83</v>
      </c>
      <c r="D2" t="s">
        <v>84</v>
      </c>
      <c r="E2">
        <v>15</v>
      </c>
      <c r="F2" t="s">
        <v>38</v>
      </c>
      <c r="G2">
        <f>VLOOKUP(F2,选手工资!A1:B28,2,FALSE)</f>
        <v>3</v>
      </c>
      <c r="H2" t="s">
        <v>94</v>
      </c>
      <c r="I2">
        <v>5</v>
      </c>
      <c r="J2">
        <v>11</v>
      </c>
      <c r="K2">
        <v>2</v>
      </c>
      <c r="L2">
        <v>11</v>
      </c>
      <c r="M2">
        <v>8</v>
      </c>
      <c r="N2" s="1">
        <v>0.667</v>
      </c>
      <c r="O2" s="1">
        <v>0.137</v>
      </c>
      <c r="P2">
        <v>5509</v>
      </c>
      <c r="Q2">
        <v>18</v>
      </c>
      <c r="R2">
        <v>0</v>
      </c>
      <c r="S2">
        <v>221</v>
      </c>
      <c r="T2">
        <v>246</v>
      </c>
      <c r="U2">
        <v>0</v>
      </c>
      <c r="V2">
        <v>0</v>
      </c>
      <c r="W2">
        <v>0</v>
      </c>
      <c r="X2">
        <v>11414</v>
      </c>
      <c r="Y2">
        <v>0</v>
      </c>
      <c r="Z2">
        <v>16520</v>
      </c>
      <c r="AA2" s="1">
        <v>0.286</v>
      </c>
      <c r="AB2">
        <v>502</v>
      </c>
      <c r="AC2" s="3">
        <v>0.179861111111111</v>
      </c>
      <c r="AD2">
        <v>1</v>
      </c>
      <c r="AE2">
        <v>1774</v>
      </c>
      <c r="AF2">
        <v>9</v>
      </c>
      <c r="AG2">
        <v>650</v>
      </c>
      <c r="AH2">
        <v>0</v>
      </c>
      <c r="AI2">
        <v>4</v>
      </c>
    </row>
    <row r="3" spans="1:35">
      <c r="A3">
        <v>260506</v>
      </c>
      <c r="B3">
        <v>2</v>
      </c>
      <c r="C3" t="s">
        <v>83</v>
      </c>
      <c r="D3" t="s">
        <v>84</v>
      </c>
      <c r="E3">
        <v>15</v>
      </c>
      <c r="F3" t="s">
        <v>19</v>
      </c>
      <c r="G3">
        <v>10</v>
      </c>
      <c r="H3" t="s">
        <v>109</v>
      </c>
      <c r="I3">
        <v>2</v>
      </c>
      <c r="J3">
        <v>18</v>
      </c>
      <c r="K3">
        <v>5</v>
      </c>
      <c r="L3">
        <v>4</v>
      </c>
      <c r="M3">
        <v>7</v>
      </c>
      <c r="N3" s="1">
        <v>0.8</v>
      </c>
      <c r="O3" s="1">
        <v>0.325</v>
      </c>
      <c r="P3">
        <v>14135</v>
      </c>
      <c r="Q3">
        <v>259</v>
      </c>
      <c r="R3">
        <v>5</v>
      </c>
      <c r="S3">
        <v>509</v>
      </c>
      <c r="T3">
        <v>571</v>
      </c>
      <c r="U3">
        <v>1</v>
      </c>
      <c r="V3">
        <v>0</v>
      </c>
      <c r="W3">
        <v>0</v>
      </c>
      <c r="X3">
        <v>27005</v>
      </c>
      <c r="Y3">
        <v>599</v>
      </c>
      <c r="Z3">
        <v>38085</v>
      </c>
      <c r="AA3" s="1">
        <v>0.473</v>
      </c>
      <c r="AB3">
        <v>981</v>
      </c>
      <c r="AC3" s="3">
        <v>0.126388888888889</v>
      </c>
      <c r="AD3">
        <v>9</v>
      </c>
      <c r="AE3">
        <v>3621</v>
      </c>
      <c r="AF3">
        <v>8</v>
      </c>
      <c r="AG3">
        <v>130</v>
      </c>
      <c r="AH3">
        <v>0</v>
      </c>
      <c r="AI3">
        <v>1</v>
      </c>
    </row>
    <row r="4" spans="1:35">
      <c r="A4">
        <v>260506</v>
      </c>
      <c r="B4">
        <v>2</v>
      </c>
      <c r="C4" t="s">
        <v>83</v>
      </c>
      <c r="D4" t="s">
        <v>84</v>
      </c>
      <c r="E4">
        <v>15</v>
      </c>
      <c r="F4" t="s">
        <v>20</v>
      </c>
      <c r="G4">
        <f>VLOOKUP(F4,选手工资!A2:B29,2,FALSE)</f>
        <v>5.5</v>
      </c>
      <c r="H4" t="s">
        <v>104</v>
      </c>
      <c r="I4">
        <v>3</v>
      </c>
      <c r="J4">
        <v>16</v>
      </c>
      <c r="K4">
        <v>4</v>
      </c>
      <c r="L4">
        <v>8</v>
      </c>
      <c r="M4">
        <v>7</v>
      </c>
      <c r="N4" s="1">
        <v>0.733</v>
      </c>
      <c r="O4" s="1">
        <v>0.265</v>
      </c>
      <c r="P4">
        <v>12025</v>
      </c>
      <c r="Q4">
        <v>189</v>
      </c>
      <c r="R4">
        <v>5</v>
      </c>
      <c r="S4">
        <v>410</v>
      </c>
      <c r="T4">
        <v>484</v>
      </c>
      <c r="U4">
        <v>1</v>
      </c>
      <c r="V4">
        <v>0</v>
      </c>
      <c r="W4">
        <v>0</v>
      </c>
      <c r="X4">
        <v>22008</v>
      </c>
      <c r="Y4">
        <v>376</v>
      </c>
      <c r="Z4">
        <v>62335</v>
      </c>
      <c r="AA4" s="1">
        <v>0.531</v>
      </c>
      <c r="AB4">
        <v>1085</v>
      </c>
      <c r="AC4" s="3">
        <v>0.199305555555556</v>
      </c>
      <c r="AD4">
        <v>5</v>
      </c>
      <c r="AE4">
        <v>3832</v>
      </c>
      <c r="AF4">
        <v>6</v>
      </c>
      <c r="AG4">
        <v>50</v>
      </c>
      <c r="AH4">
        <v>0</v>
      </c>
      <c r="AI4">
        <v>2</v>
      </c>
    </row>
    <row r="5" spans="1:35">
      <c r="A5">
        <v>260506</v>
      </c>
      <c r="B5">
        <v>2</v>
      </c>
      <c r="C5" t="s">
        <v>83</v>
      </c>
      <c r="D5" t="s">
        <v>84</v>
      </c>
      <c r="E5">
        <v>15</v>
      </c>
      <c r="F5" t="s">
        <v>14</v>
      </c>
      <c r="G5">
        <v>8</v>
      </c>
      <c r="H5" t="s">
        <v>110</v>
      </c>
      <c r="I5">
        <v>1</v>
      </c>
      <c r="J5">
        <v>16</v>
      </c>
      <c r="K5">
        <v>0</v>
      </c>
      <c r="L5">
        <v>7</v>
      </c>
      <c r="M5">
        <v>11</v>
      </c>
      <c r="N5" s="1">
        <v>0.733</v>
      </c>
      <c r="O5" s="1">
        <v>0.166</v>
      </c>
      <c r="P5">
        <v>11329</v>
      </c>
      <c r="Q5">
        <v>204</v>
      </c>
      <c r="R5">
        <v>7</v>
      </c>
      <c r="S5">
        <v>365</v>
      </c>
      <c r="T5">
        <v>472</v>
      </c>
      <c r="U5">
        <v>2</v>
      </c>
      <c r="V5">
        <v>0</v>
      </c>
      <c r="W5">
        <v>0</v>
      </c>
      <c r="X5">
        <v>13815</v>
      </c>
      <c r="Y5">
        <v>0</v>
      </c>
      <c r="Z5">
        <v>26365</v>
      </c>
      <c r="AA5" s="1">
        <v>0.422</v>
      </c>
      <c r="AB5">
        <v>371</v>
      </c>
      <c r="AC5" s="3">
        <v>0.138888888888889</v>
      </c>
      <c r="AD5">
        <v>6</v>
      </c>
      <c r="AE5">
        <v>2754</v>
      </c>
      <c r="AF5">
        <v>5</v>
      </c>
      <c r="AG5">
        <v>130</v>
      </c>
      <c r="AH5">
        <v>0</v>
      </c>
      <c r="AI5">
        <v>0</v>
      </c>
    </row>
    <row r="6" spans="1:35">
      <c r="A6">
        <v>260506</v>
      </c>
      <c r="B6">
        <v>2</v>
      </c>
      <c r="C6" t="s">
        <v>83</v>
      </c>
      <c r="D6" t="s">
        <v>84</v>
      </c>
      <c r="E6">
        <v>15</v>
      </c>
      <c r="F6" t="s">
        <v>22</v>
      </c>
      <c r="G6">
        <f>VLOOKUP(F6,选手工资!A4:B31,2,FALSE)</f>
        <v>4.5</v>
      </c>
      <c r="H6" t="s">
        <v>79</v>
      </c>
      <c r="I6">
        <v>4</v>
      </c>
      <c r="J6">
        <v>12</v>
      </c>
      <c r="K6">
        <v>2</v>
      </c>
      <c r="L6">
        <v>7</v>
      </c>
      <c r="M6">
        <v>8</v>
      </c>
      <c r="N6" s="1">
        <v>0.667</v>
      </c>
      <c r="O6" s="1">
        <v>0.106</v>
      </c>
      <c r="P6">
        <v>7104</v>
      </c>
      <c r="Q6">
        <v>26</v>
      </c>
      <c r="R6">
        <v>0</v>
      </c>
      <c r="S6">
        <v>232</v>
      </c>
      <c r="T6">
        <v>298</v>
      </c>
      <c r="U6">
        <v>0</v>
      </c>
      <c r="V6">
        <v>0</v>
      </c>
      <c r="W6">
        <v>0</v>
      </c>
      <c r="X6">
        <v>8779</v>
      </c>
      <c r="Y6">
        <v>0</v>
      </c>
      <c r="Z6">
        <v>15489</v>
      </c>
      <c r="AA6" s="1">
        <v>0.399</v>
      </c>
      <c r="AB6">
        <v>300</v>
      </c>
      <c r="AC6" s="3">
        <v>0.121527777777778</v>
      </c>
      <c r="AD6">
        <v>2</v>
      </c>
      <c r="AE6">
        <v>2211</v>
      </c>
      <c r="AF6">
        <v>4</v>
      </c>
      <c r="AG6">
        <v>200</v>
      </c>
      <c r="AH6">
        <v>10</v>
      </c>
      <c r="AI6">
        <v>0</v>
      </c>
    </row>
    <row r="7" spans="1:35">
      <c r="A7">
        <v>260506</v>
      </c>
      <c r="B7">
        <v>2</v>
      </c>
      <c r="C7" t="s">
        <v>76</v>
      </c>
      <c r="D7" t="s">
        <v>77</v>
      </c>
      <c r="E7">
        <v>36</v>
      </c>
      <c r="F7" t="s">
        <v>30</v>
      </c>
      <c r="G7">
        <v>8</v>
      </c>
      <c r="H7" t="s">
        <v>96</v>
      </c>
      <c r="I7">
        <v>2</v>
      </c>
      <c r="J7">
        <v>20</v>
      </c>
      <c r="K7">
        <v>6</v>
      </c>
      <c r="L7">
        <v>3</v>
      </c>
      <c r="M7">
        <v>12</v>
      </c>
      <c r="N7" s="1">
        <v>0.5</v>
      </c>
      <c r="O7" s="1">
        <v>0.279</v>
      </c>
      <c r="P7">
        <v>18404</v>
      </c>
      <c r="Q7">
        <v>287</v>
      </c>
      <c r="R7">
        <v>5</v>
      </c>
      <c r="S7">
        <v>623</v>
      </c>
      <c r="T7">
        <v>751</v>
      </c>
      <c r="U7">
        <v>1</v>
      </c>
      <c r="V7">
        <v>8383</v>
      </c>
      <c r="W7">
        <v>0</v>
      </c>
      <c r="X7">
        <v>24077</v>
      </c>
      <c r="Y7">
        <v>3147</v>
      </c>
      <c r="Z7">
        <v>43006</v>
      </c>
      <c r="AA7" s="1">
        <v>0.466</v>
      </c>
      <c r="AB7">
        <v>242</v>
      </c>
      <c r="AC7" s="3">
        <v>0.0534722222222222</v>
      </c>
      <c r="AD7">
        <v>10</v>
      </c>
      <c r="AE7">
        <v>4224</v>
      </c>
      <c r="AF7">
        <v>9</v>
      </c>
      <c r="AG7">
        <v>50</v>
      </c>
      <c r="AH7">
        <v>0</v>
      </c>
      <c r="AI7">
        <v>1</v>
      </c>
    </row>
    <row r="8" spans="1:35">
      <c r="A8">
        <v>260506</v>
      </c>
      <c r="B8">
        <v>2</v>
      </c>
      <c r="C8" t="s">
        <v>76</v>
      </c>
      <c r="D8" t="s">
        <v>77</v>
      </c>
      <c r="E8">
        <v>36</v>
      </c>
      <c r="F8" t="s">
        <v>17</v>
      </c>
      <c r="G8" t="e">
        <f>VLOOKUP(F8,选手工资!A8:B35,2,FALSE)</f>
        <v>#N/A</v>
      </c>
      <c r="H8" t="s">
        <v>111</v>
      </c>
      <c r="I8">
        <v>1</v>
      </c>
      <c r="J8">
        <v>19</v>
      </c>
      <c r="K8">
        <v>12</v>
      </c>
      <c r="L8">
        <v>3</v>
      </c>
      <c r="M8">
        <v>13</v>
      </c>
      <c r="N8" s="1">
        <v>0.694</v>
      </c>
      <c r="O8" s="1">
        <v>0.22</v>
      </c>
      <c r="P8">
        <v>19706</v>
      </c>
      <c r="Q8">
        <v>234</v>
      </c>
      <c r="R8">
        <v>13</v>
      </c>
      <c r="S8">
        <v>639</v>
      </c>
      <c r="T8">
        <v>677</v>
      </c>
      <c r="U8">
        <v>2</v>
      </c>
      <c r="V8">
        <v>0</v>
      </c>
      <c r="W8">
        <v>0</v>
      </c>
      <c r="X8">
        <v>18995</v>
      </c>
      <c r="Y8">
        <v>13668</v>
      </c>
      <c r="Z8">
        <v>30931</v>
      </c>
      <c r="AA8" s="1">
        <v>0.39</v>
      </c>
      <c r="AB8">
        <v>541</v>
      </c>
      <c r="AC8" s="3">
        <v>0.0833333333333333</v>
      </c>
      <c r="AD8">
        <v>8</v>
      </c>
      <c r="AE8">
        <v>4794</v>
      </c>
      <c r="AF8">
        <v>7</v>
      </c>
      <c r="AG8">
        <v>0</v>
      </c>
      <c r="AH8">
        <v>0</v>
      </c>
      <c r="AI8">
        <v>1</v>
      </c>
    </row>
    <row r="9" spans="1:35">
      <c r="A9">
        <v>260506</v>
      </c>
      <c r="B9">
        <v>2</v>
      </c>
      <c r="C9" t="s">
        <v>76</v>
      </c>
      <c r="D9" t="s">
        <v>77</v>
      </c>
      <c r="E9">
        <v>36</v>
      </c>
      <c r="F9" t="s">
        <v>13</v>
      </c>
      <c r="G9">
        <v>7.5</v>
      </c>
      <c r="H9" t="s">
        <v>85</v>
      </c>
      <c r="I9">
        <v>3</v>
      </c>
      <c r="J9">
        <v>18</v>
      </c>
      <c r="K9">
        <v>8</v>
      </c>
      <c r="L9">
        <v>4</v>
      </c>
      <c r="M9">
        <v>19</v>
      </c>
      <c r="N9" s="1">
        <v>0.75</v>
      </c>
      <c r="O9" s="1">
        <v>0.267</v>
      </c>
      <c r="P9">
        <v>17152</v>
      </c>
      <c r="Q9">
        <v>218</v>
      </c>
      <c r="R9">
        <v>23</v>
      </c>
      <c r="S9">
        <v>563</v>
      </c>
      <c r="T9">
        <v>614</v>
      </c>
      <c r="U9">
        <v>2</v>
      </c>
      <c r="V9">
        <v>0</v>
      </c>
      <c r="W9">
        <v>0</v>
      </c>
      <c r="X9">
        <v>22971</v>
      </c>
      <c r="Y9">
        <v>2907</v>
      </c>
      <c r="Z9">
        <v>39062</v>
      </c>
      <c r="AA9" s="1">
        <v>0.44</v>
      </c>
      <c r="AB9">
        <v>436</v>
      </c>
      <c r="AC9" s="3">
        <v>0.0715277777777778</v>
      </c>
      <c r="AD9">
        <v>4</v>
      </c>
      <c r="AE9">
        <v>4423</v>
      </c>
      <c r="AF9">
        <v>7</v>
      </c>
      <c r="AG9">
        <v>80</v>
      </c>
      <c r="AH9">
        <v>1</v>
      </c>
      <c r="AI9">
        <v>0</v>
      </c>
    </row>
    <row r="10" spans="1:35">
      <c r="A10">
        <v>260506</v>
      </c>
      <c r="B10">
        <v>2</v>
      </c>
      <c r="C10" t="s">
        <v>76</v>
      </c>
      <c r="D10" t="s">
        <v>77</v>
      </c>
      <c r="E10">
        <v>36</v>
      </c>
      <c r="F10" t="s">
        <v>35</v>
      </c>
      <c r="G10">
        <f>VLOOKUP(F10,选手工资!A7:B34,2,FALSE)</f>
        <v>3.5</v>
      </c>
      <c r="H10" t="s">
        <v>112</v>
      </c>
      <c r="I10">
        <v>4</v>
      </c>
      <c r="J10">
        <v>15</v>
      </c>
      <c r="K10">
        <v>6</v>
      </c>
      <c r="L10">
        <v>4</v>
      </c>
      <c r="M10">
        <v>18</v>
      </c>
      <c r="N10" s="1">
        <v>0.667</v>
      </c>
      <c r="O10" s="1">
        <v>0.121</v>
      </c>
      <c r="P10">
        <v>7702</v>
      </c>
      <c r="Q10">
        <v>24</v>
      </c>
      <c r="R10">
        <v>2</v>
      </c>
      <c r="S10">
        <v>301</v>
      </c>
      <c r="T10">
        <v>437</v>
      </c>
      <c r="U10">
        <v>2</v>
      </c>
      <c r="V10">
        <v>0</v>
      </c>
      <c r="W10">
        <v>0</v>
      </c>
      <c r="X10">
        <v>10439</v>
      </c>
      <c r="Y10">
        <v>316</v>
      </c>
      <c r="Z10">
        <v>14312</v>
      </c>
      <c r="AA10" s="1">
        <v>0.275</v>
      </c>
      <c r="AB10">
        <v>395</v>
      </c>
      <c r="AC10" s="3">
        <v>0.0604166666666667</v>
      </c>
      <c r="AD10">
        <v>3</v>
      </c>
      <c r="AE10">
        <v>2681</v>
      </c>
      <c r="AF10">
        <v>6</v>
      </c>
      <c r="AG10">
        <v>550</v>
      </c>
      <c r="AH10">
        <v>2</v>
      </c>
      <c r="AI10">
        <v>3</v>
      </c>
    </row>
    <row r="11" spans="1:35">
      <c r="A11">
        <v>260506</v>
      </c>
      <c r="B11">
        <v>2</v>
      </c>
      <c r="C11" t="s">
        <v>76</v>
      </c>
      <c r="D11" t="s">
        <v>77</v>
      </c>
      <c r="E11">
        <v>36</v>
      </c>
      <c r="F11" t="s">
        <v>25</v>
      </c>
      <c r="G11">
        <f>VLOOKUP(F11,选手工资!A6:B33,2,FALSE)</f>
        <v>5.5</v>
      </c>
      <c r="H11" t="s">
        <v>106</v>
      </c>
      <c r="I11">
        <v>5</v>
      </c>
      <c r="J11">
        <v>15</v>
      </c>
      <c r="K11">
        <v>4</v>
      </c>
      <c r="L11">
        <v>1</v>
      </c>
      <c r="M11">
        <v>25</v>
      </c>
      <c r="N11" s="1">
        <v>0.806</v>
      </c>
      <c r="O11" s="1">
        <v>0.113</v>
      </c>
      <c r="P11">
        <v>9330</v>
      </c>
      <c r="Q11">
        <v>28</v>
      </c>
      <c r="R11">
        <v>4</v>
      </c>
      <c r="S11">
        <v>334</v>
      </c>
      <c r="T11">
        <v>442</v>
      </c>
      <c r="U11">
        <v>5</v>
      </c>
      <c r="V11">
        <v>0</v>
      </c>
      <c r="W11">
        <v>1</v>
      </c>
      <c r="X11">
        <v>9704</v>
      </c>
      <c r="Y11">
        <v>288</v>
      </c>
      <c r="Z11">
        <v>13121</v>
      </c>
      <c r="AA11" s="1">
        <v>0.321</v>
      </c>
      <c r="AB11">
        <v>0</v>
      </c>
      <c r="AC11" s="3">
        <v>0.0111111111111111</v>
      </c>
      <c r="AD11">
        <v>7</v>
      </c>
      <c r="AE11">
        <v>2605</v>
      </c>
      <c r="AF11">
        <v>6</v>
      </c>
      <c r="AG11">
        <v>700</v>
      </c>
      <c r="AH11">
        <v>2</v>
      </c>
      <c r="AI11">
        <v>5</v>
      </c>
    </row>
    <row r="14" spans="1:35">
      <c r="A14" t="s">
        <v>90</v>
      </c>
      <c r="B14" s="4">
        <v>8800139309</v>
      </c>
      <c r="C14" s="4"/>
    </row>
    <row r="15" spans="1:35">
      <c r="A15" t="s">
        <v>91</v>
      </c>
      <c r="B15" s="7" t="s">
        <v>113</v>
      </c>
    </row>
  </sheetData>
  <sortState ref="A2:AF11">
    <sortCondition ref="C2"/>
  </sortState>
  <mergeCells count="1">
    <mergeCell ref="B14:C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260506</v>
      </c>
      <c r="B2">
        <v>3</v>
      </c>
      <c r="C2" t="s">
        <v>83</v>
      </c>
      <c r="D2" t="s">
        <v>77</v>
      </c>
      <c r="E2">
        <v>46</v>
      </c>
      <c r="F2" t="s">
        <v>13</v>
      </c>
      <c r="G2">
        <f>VLOOKUP(F2,选手工资!A1:B28,2,FALSE)</f>
        <v>7.5</v>
      </c>
      <c r="H2" t="s">
        <v>103</v>
      </c>
      <c r="I2">
        <v>2</v>
      </c>
      <c r="J2">
        <v>20</v>
      </c>
      <c r="K2">
        <v>12</v>
      </c>
      <c r="L2">
        <v>1</v>
      </c>
      <c r="M2">
        <v>19</v>
      </c>
      <c r="N2" s="1">
        <v>0.674</v>
      </c>
      <c r="O2" s="1">
        <v>0.346</v>
      </c>
      <c r="P2">
        <v>18470</v>
      </c>
      <c r="Q2">
        <v>185</v>
      </c>
      <c r="R2">
        <v>23</v>
      </c>
      <c r="S2">
        <v>621</v>
      </c>
      <c r="T2">
        <v>818</v>
      </c>
      <c r="U2">
        <v>3</v>
      </c>
      <c r="V2">
        <v>110</v>
      </c>
      <c r="W2">
        <v>0</v>
      </c>
      <c r="X2">
        <v>31016</v>
      </c>
      <c r="Y2">
        <v>5780</v>
      </c>
      <c r="Z2">
        <v>27111</v>
      </c>
      <c r="AA2" s="1">
        <v>0.473</v>
      </c>
      <c r="AB2">
        <v>124</v>
      </c>
      <c r="AC2" s="3">
        <v>0.0243055555555556</v>
      </c>
      <c r="AD2">
        <v>9</v>
      </c>
      <c r="AE2">
        <v>4818</v>
      </c>
      <c r="AF2">
        <v>9</v>
      </c>
      <c r="AG2">
        <v>290</v>
      </c>
      <c r="AH2">
        <v>0</v>
      </c>
      <c r="AI2">
        <v>1</v>
      </c>
    </row>
    <row r="3" spans="1:35">
      <c r="A3">
        <v>260506</v>
      </c>
      <c r="B3">
        <v>3</v>
      </c>
      <c r="C3" t="s">
        <v>83</v>
      </c>
      <c r="D3" t="s">
        <v>77</v>
      </c>
      <c r="E3">
        <v>46</v>
      </c>
      <c r="F3" t="s">
        <v>20</v>
      </c>
      <c r="G3">
        <f>VLOOKUP(F3,选手工资!A4:B31,2,FALSE)</f>
        <v>5.5</v>
      </c>
      <c r="H3" t="s">
        <v>105</v>
      </c>
      <c r="I3">
        <v>1</v>
      </c>
      <c r="J3">
        <v>21</v>
      </c>
      <c r="K3">
        <v>11</v>
      </c>
      <c r="L3">
        <v>2</v>
      </c>
      <c r="M3">
        <v>10</v>
      </c>
      <c r="N3" s="1">
        <v>0.457</v>
      </c>
      <c r="O3" s="1">
        <v>0.221</v>
      </c>
      <c r="P3">
        <v>20454</v>
      </c>
      <c r="Q3">
        <v>280</v>
      </c>
      <c r="R3">
        <v>9</v>
      </c>
      <c r="S3">
        <v>722</v>
      </c>
      <c r="T3">
        <v>839</v>
      </c>
      <c r="U3">
        <v>1</v>
      </c>
      <c r="V3">
        <v>0</v>
      </c>
      <c r="W3">
        <v>0</v>
      </c>
      <c r="X3">
        <v>19867</v>
      </c>
      <c r="Y3">
        <v>8147</v>
      </c>
      <c r="Z3">
        <v>24485</v>
      </c>
      <c r="AA3" s="1">
        <v>0.33</v>
      </c>
      <c r="AB3">
        <v>313</v>
      </c>
      <c r="AC3" s="3">
        <v>0.0416666666666667</v>
      </c>
      <c r="AD3">
        <v>5</v>
      </c>
      <c r="AE3">
        <v>5013</v>
      </c>
      <c r="AF3">
        <v>7</v>
      </c>
      <c r="AG3">
        <v>0</v>
      </c>
      <c r="AH3">
        <v>0</v>
      </c>
      <c r="AI3">
        <v>1</v>
      </c>
    </row>
    <row r="4" spans="1:35">
      <c r="A4">
        <v>260506</v>
      </c>
      <c r="B4">
        <v>3</v>
      </c>
      <c r="C4" t="s">
        <v>83</v>
      </c>
      <c r="D4" t="s">
        <v>77</v>
      </c>
      <c r="E4">
        <v>46</v>
      </c>
      <c r="F4" t="s">
        <v>17</v>
      </c>
      <c r="G4">
        <f>VLOOKUP(F4,选手工资!A5:B32,2,FALSE)</f>
        <v>6</v>
      </c>
      <c r="H4" t="s">
        <v>80</v>
      </c>
      <c r="I4">
        <v>3</v>
      </c>
      <c r="J4">
        <v>21</v>
      </c>
      <c r="K4">
        <v>10</v>
      </c>
      <c r="L4">
        <v>3</v>
      </c>
      <c r="M4">
        <v>16</v>
      </c>
      <c r="N4" s="1">
        <v>0.565</v>
      </c>
      <c r="O4" s="1">
        <v>0.222</v>
      </c>
      <c r="P4">
        <v>17721</v>
      </c>
      <c r="Q4">
        <v>216</v>
      </c>
      <c r="R4">
        <v>16</v>
      </c>
      <c r="S4">
        <v>619</v>
      </c>
      <c r="T4">
        <v>848</v>
      </c>
      <c r="U4">
        <v>2</v>
      </c>
      <c r="V4">
        <v>2951</v>
      </c>
      <c r="W4">
        <v>0</v>
      </c>
      <c r="X4">
        <v>19893</v>
      </c>
      <c r="Y4">
        <v>3285</v>
      </c>
      <c r="Z4">
        <v>30562</v>
      </c>
      <c r="AA4" s="1">
        <v>0.456</v>
      </c>
      <c r="AB4">
        <v>434</v>
      </c>
      <c r="AC4" s="3">
        <v>0.0722222222222222</v>
      </c>
      <c r="AD4">
        <v>6</v>
      </c>
      <c r="AE4">
        <v>4345</v>
      </c>
      <c r="AF4">
        <v>7</v>
      </c>
      <c r="AG4">
        <v>50</v>
      </c>
      <c r="AH4">
        <v>0</v>
      </c>
      <c r="AI4">
        <v>1</v>
      </c>
    </row>
    <row r="5" spans="1:35">
      <c r="A5">
        <v>260506</v>
      </c>
      <c r="B5">
        <v>3</v>
      </c>
      <c r="C5" t="s">
        <v>83</v>
      </c>
      <c r="D5" t="s">
        <v>77</v>
      </c>
      <c r="E5">
        <v>46</v>
      </c>
      <c r="F5" t="s">
        <v>14</v>
      </c>
      <c r="G5">
        <f>VLOOKUP(F5,选手工资!A2:B29,2,FALSE)</f>
        <v>8</v>
      </c>
      <c r="H5" t="s">
        <v>98</v>
      </c>
      <c r="I5">
        <v>4</v>
      </c>
      <c r="J5">
        <v>15</v>
      </c>
      <c r="K5">
        <v>7</v>
      </c>
      <c r="L5">
        <v>6</v>
      </c>
      <c r="M5">
        <v>20</v>
      </c>
      <c r="N5" s="1">
        <v>0.587</v>
      </c>
      <c r="O5" s="1">
        <v>0.11</v>
      </c>
      <c r="P5">
        <v>8101</v>
      </c>
      <c r="Q5">
        <v>5</v>
      </c>
      <c r="R5">
        <v>5</v>
      </c>
      <c r="S5">
        <v>335</v>
      </c>
      <c r="T5">
        <v>435</v>
      </c>
      <c r="U5">
        <v>4</v>
      </c>
      <c r="V5">
        <v>0</v>
      </c>
      <c r="W5">
        <v>1</v>
      </c>
      <c r="X5">
        <v>9867</v>
      </c>
      <c r="Y5">
        <v>52</v>
      </c>
      <c r="Z5">
        <v>16167</v>
      </c>
      <c r="AA5" s="1">
        <v>0.253</v>
      </c>
      <c r="AB5">
        <v>587</v>
      </c>
      <c r="AC5" s="3">
        <v>0.127083333333333</v>
      </c>
      <c r="AD5">
        <v>1</v>
      </c>
      <c r="AE5">
        <v>2144</v>
      </c>
      <c r="AF5">
        <v>6</v>
      </c>
      <c r="AG5">
        <v>450</v>
      </c>
      <c r="AH5">
        <v>2</v>
      </c>
      <c r="AI5">
        <v>1</v>
      </c>
    </row>
    <row r="6" spans="1:35">
      <c r="A6">
        <v>260506</v>
      </c>
      <c r="B6">
        <v>3</v>
      </c>
      <c r="C6" t="s">
        <v>83</v>
      </c>
      <c r="D6" t="s">
        <v>77</v>
      </c>
      <c r="E6">
        <v>46</v>
      </c>
      <c r="F6" t="s">
        <v>25</v>
      </c>
      <c r="G6">
        <f>VLOOKUP(F6,选手工资!A3:B30,2,FALSE)</f>
        <v>5.5</v>
      </c>
      <c r="H6" t="s">
        <v>88</v>
      </c>
      <c r="I6">
        <v>5</v>
      </c>
      <c r="J6">
        <v>13</v>
      </c>
      <c r="K6">
        <v>5</v>
      </c>
      <c r="L6">
        <v>7</v>
      </c>
      <c r="M6">
        <v>17</v>
      </c>
      <c r="N6" s="1">
        <v>0.478</v>
      </c>
      <c r="O6" s="1">
        <v>0.101</v>
      </c>
      <c r="P6">
        <v>8539</v>
      </c>
      <c r="Q6">
        <v>30</v>
      </c>
      <c r="R6">
        <v>0</v>
      </c>
      <c r="S6">
        <v>321</v>
      </c>
      <c r="T6">
        <v>353</v>
      </c>
      <c r="U6">
        <v>0</v>
      </c>
      <c r="V6">
        <v>587</v>
      </c>
      <c r="W6">
        <v>0</v>
      </c>
      <c r="X6">
        <v>9109</v>
      </c>
      <c r="Y6">
        <v>940</v>
      </c>
      <c r="Z6">
        <v>15920</v>
      </c>
      <c r="AA6" s="1">
        <v>0.312</v>
      </c>
      <c r="AB6">
        <v>198</v>
      </c>
      <c r="AC6" s="3">
        <v>0.132638888888889</v>
      </c>
      <c r="AD6">
        <v>2</v>
      </c>
      <c r="AE6">
        <v>1894</v>
      </c>
      <c r="AF6">
        <v>5</v>
      </c>
      <c r="AG6">
        <v>750</v>
      </c>
      <c r="AH6">
        <v>5</v>
      </c>
      <c r="AI6">
        <v>12</v>
      </c>
    </row>
    <row r="7" spans="1:35">
      <c r="A7">
        <v>260506</v>
      </c>
      <c r="B7">
        <v>3</v>
      </c>
      <c r="C7" t="s">
        <v>76</v>
      </c>
      <c r="D7" t="s">
        <v>84</v>
      </c>
      <c r="E7">
        <v>19</v>
      </c>
      <c r="F7" t="s">
        <v>19</v>
      </c>
      <c r="G7">
        <v>10</v>
      </c>
      <c r="H7" t="s">
        <v>114</v>
      </c>
      <c r="I7">
        <v>3</v>
      </c>
      <c r="J7">
        <v>16</v>
      </c>
      <c r="K7">
        <v>2</v>
      </c>
      <c r="L7">
        <v>7</v>
      </c>
      <c r="M7">
        <v>7</v>
      </c>
      <c r="N7" s="1">
        <v>0.474</v>
      </c>
      <c r="O7" s="1">
        <v>0.251</v>
      </c>
      <c r="P7">
        <v>10153</v>
      </c>
      <c r="Q7">
        <v>220</v>
      </c>
      <c r="R7">
        <v>2</v>
      </c>
      <c r="S7">
        <v>403</v>
      </c>
      <c r="T7">
        <v>508</v>
      </c>
      <c r="U7">
        <v>0</v>
      </c>
      <c r="V7">
        <v>0</v>
      </c>
      <c r="W7">
        <v>0</v>
      </c>
      <c r="X7">
        <v>17675</v>
      </c>
      <c r="Y7">
        <v>35</v>
      </c>
      <c r="Z7">
        <v>36775</v>
      </c>
      <c r="AA7" s="1">
        <v>0.317</v>
      </c>
      <c r="AB7">
        <v>1314</v>
      </c>
      <c r="AC7" s="3">
        <v>0.193055555555556</v>
      </c>
      <c r="AD7">
        <v>7</v>
      </c>
      <c r="AE7">
        <v>3736</v>
      </c>
      <c r="AF7">
        <v>7</v>
      </c>
      <c r="AG7">
        <v>50</v>
      </c>
      <c r="AH7">
        <v>1</v>
      </c>
      <c r="AI7">
        <v>0</v>
      </c>
    </row>
    <row r="8" spans="1:35">
      <c r="A8">
        <v>260506</v>
      </c>
      <c r="B8">
        <v>3</v>
      </c>
      <c r="C8" t="s">
        <v>76</v>
      </c>
      <c r="D8" t="s">
        <v>84</v>
      </c>
      <c r="E8">
        <v>19</v>
      </c>
      <c r="F8" t="s">
        <v>18</v>
      </c>
      <c r="G8" t="e">
        <f>VLOOKUP(F8,选手工资!A9:B36,2,FALSE)</f>
        <v>#N/A</v>
      </c>
      <c r="H8" t="s">
        <v>110</v>
      </c>
      <c r="I8">
        <v>1</v>
      </c>
      <c r="J8">
        <v>17</v>
      </c>
      <c r="K8">
        <v>9</v>
      </c>
      <c r="L8">
        <v>8</v>
      </c>
      <c r="M8">
        <v>8</v>
      </c>
      <c r="N8" s="1">
        <v>0.895</v>
      </c>
      <c r="O8" s="1">
        <v>0.286</v>
      </c>
      <c r="P8">
        <v>13695</v>
      </c>
      <c r="Q8">
        <v>187</v>
      </c>
      <c r="R8">
        <v>9</v>
      </c>
      <c r="S8">
        <v>523</v>
      </c>
      <c r="T8">
        <v>594</v>
      </c>
      <c r="U8">
        <v>0</v>
      </c>
      <c r="V8">
        <v>0</v>
      </c>
      <c r="W8">
        <v>0</v>
      </c>
      <c r="X8">
        <v>20130</v>
      </c>
      <c r="Y8">
        <v>0</v>
      </c>
      <c r="Z8">
        <v>28084</v>
      </c>
      <c r="AA8" s="1">
        <v>0.468</v>
      </c>
      <c r="AB8">
        <v>1460</v>
      </c>
      <c r="AC8" s="3">
        <v>0.1875</v>
      </c>
      <c r="AD8">
        <v>8</v>
      </c>
      <c r="AE8">
        <v>4141</v>
      </c>
      <c r="AF8">
        <v>6</v>
      </c>
      <c r="AG8">
        <v>0</v>
      </c>
      <c r="AH8">
        <v>0</v>
      </c>
      <c r="AI8">
        <v>0</v>
      </c>
    </row>
    <row r="9" spans="1:35">
      <c r="A9">
        <v>260506</v>
      </c>
      <c r="B9">
        <v>3</v>
      </c>
      <c r="C9" t="s">
        <v>76</v>
      </c>
      <c r="D9" t="s">
        <v>84</v>
      </c>
      <c r="E9">
        <v>19</v>
      </c>
      <c r="F9" t="s">
        <v>30</v>
      </c>
      <c r="G9">
        <v>8</v>
      </c>
      <c r="H9" t="s">
        <v>115</v>
      </c>
      <c r="I9">
        <v>2</v>
      </c>
      <c r="J9">
        <v>13</v>
      </c>
      <c r="K9">
        <v>1</v>
      </c>
      <c r="L9">
        <v>10</v>
      </c>
      <c r="M9">
        <v>6</v>
      </c>
      <c r="N9" s="1">
        <v>0.368</v>
      </c>
      <c r="O9" s="1">
        <v>0.167</v>
      </c>
      <c r="P9">
        <v>6389</v>
      </c>
      <c r="Q9">
        <v>108</v>
      </c>
      <c r="R9">
        <v>8</v>
      </c>
      <c r="S9">
        <v>279</v>
      </c>
      <c r="T9">
        <v>372</v>
      </c>
      <c r="U9">
        <v>1</v>
      </c>
      <c r="V9">
        <v>0</v>
      </c>
      <c r="W9">
        <v>0</v>
      </c>
      <c r="X9">
        <v>11743</v>
      </c>
      <c r="Y9">
        <v>0</v>
      </c>
      <c r="Z9">
        <v>30209</v>
      </c>
      <c r="AA9" s="1">
        <v>0.35</v>
      </c>
      <c r="AB9">
        <v>1108</v>
      </c>
      <c r="AC9" s="3">
        <v>0.2125</v>
      </c>
      <c r="AD9">
        <v>10</v>
      </c>
      <c r="AE9">
        <v>2787</v>
      </c>
      <c r="AF9">
        <v>6</v>
      </c>
      <c r="AG9">
        <v>0</v>
      </c>
      <c r="AH9">
        <v>0</v>
      </c>
      <c r="AI9">
        <v>1</v>
      </c>
    </row>
    <row r="10" spans="1:35">
      <c r="A10">
        <v>260506</v>
      </c>
      <c r="B10">
        <v>3</v>
      </c>
      <c r="C10" t="s">
        <v>76</v>
      </c>
      <c r="D10" t="s">
        <v>84</v>
      </c>
      <c r="E10">
        <v>19</v>
      </c>
      <c r="F10" t="s">
        <v>38</v>
      </c>
      <c r="G10">
        <f>VLOOKUP(F10,选手工资!A8:B35,2,FALSE)</f>
        <v>3</v>
      </c>
      <c r="H10" t="s">
        <v>94</v>
      </c>
      <c r="I10">
        <v>5</v>
      </c>
      <c r="J10">
        <v>11</v>
      </c>
      <c r="K10">
        <v>5</v>
      </c>
      <c r="L10">
        <v>13</v>
      </c>
      <c r="M10">
        <v>10</v>
      </c>
      <c r="N10" s="1">
        <v>0.789</v>
      </c>
      <c r="O10" s="1">
        <v>0.13</v>
      </c>
      <c r="P10">
        <v>4700</v>
      </c>
      <c r="Q10">
        <v>18</v>
      </c>
      <c r="R10">
        <v>0</v>
      </c>
      <c r="S10">
        <v>246</v>
      </c>
      <c r="T10">
        <v>262</v>
      </c>
      <c r="U10">
        <v>1</v>
      </c>
      <c r="V10">
        <v>0</v>
      </c>
      <c r="W10">
        <v>0</v>
      </c>
      <c r="X10">
        <v>9129</v>
      </c>
      <c r="Y10">
        <v>0</v>
      </c>
      <c r="Z10">
        <v>25987</v>
      </c>
      <c r="AA10" s="1">
        <v>0.267</v>
      </c>
      <c r="AB10">
        <v>1221</v>
      </c>
      <c r="AC10" s="3">
        <v>0.252777777777778</v>
      </c>
      <c r="AD10">
        <v>4</v>
      </c>
      <c r="AE10">
        <v>2223</v>
      </c>
      <c r="AF10">
        <v>6</v>
      </c>
      <c r="AG10">
        <v>600</v>
      </c>
      <c r="AH10">
        <v>2</v>
      </c>
      <c r="AI10">
        <v>10</v>
      </c>
    </row>
    <row r="11" spans="1:35">
      <c r="A11">
        <v>260506</v>
      </c>
      <c r="B11">
        <v>3</v>
      </c>
      <c r="C11" t="s">
        <v>76</v>
      </c>
      <c r="D11" t="s">
        <v>84</v>
      </c>
      <c r="E11">
        <v>19</v>
      </c>
      <c r="F11" t="s">
        <v>28</v>
      </c>
      <c r="G11">
        <f>VLOOKUP(F11,选手工资!A7:B34,2,FALSE)</f>
        <v>6</v>
      </c>
      <c r="H11" t="s">
        <v>95</v>
      </c>
      <c r="I11">
        <v>4</v>
      </c>
      <c r="J11">
        <v>11</v>
      </c>
      <c r="K11">
        <v>2</v>
      </c>
      <c r="L11">
        <v>9</v>
      </c>
      <c r="M11">
        <v>6</v>
      </c>
      <c r="N11" s="1">
        <v>0.421</v>
      </c>
      <c r="O11" s="1">
        <v>0.167</v>
      </c>
      <c r="P11">
        <v>4829</v>
      </c>
      <c r="Q11">
        <v>33</v>
      </c>
      <c r="R11">
        <v>6</v>
      </c>
      <c r="S11">
        <v>226</v>
      </c>
      <c r="T11">
        <v>275</v>
      </c>
      <c r="U11">
        <v>2</v>
      </c>
      <c r="V11">
        <v>0</v>
      </c>
      <c r="W11">
        <v>0</v>
      </c>
      <c r="X11">
        <v>11726</v>
      </c>
      <c r="Y11">
        <v>0</v>
      </c>
      <c r="Z11">
        <v>17636</v>
      </c>
      <c r="AA11" s="1">
        <v>0.375</v>
      </c>
      <c r="AB11">
        <v>537</v>
      </c>
      <c r="AC11" s="3">
        <v>0.141666666666667</v>
      </c>
      <c r="AD11">
        <v>3</v>
      </c>
      <c r="AE11">
        <v>1498</v>
      </c>
      <c r="AF11">
        <v>5</v>
      </c>
      <c r="AG11">
        <v>450</v>
      </c>
      <c r="AH11">
        <v>1</v>
      </c>
      <c r="AI11">
        <v>1</v>
      </c>
    </row>
    <row r="14" spans="1:35">
      <c r="A14" t="s">
        <v>90</v>
      </c>
      <c r="B14" s="4">
        <v>8800194363</v>
      </c>
      <c r="C14" s="4"/>
    </row>
    <row r="15" spans="1:35">
      <c r="A15" t="s">
        <v>91</v>
      </c>
      <c r="B15" s="7" t="s">
        <v>116</v>
      </c>
    </row>
  </sheetData>
  <sortState ref="A2:AF11">
    <sortCondition ref="C2"/>
  </sortState>
  <mergeCells count="1">
    <mergeCell ref="B14:C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8" max="8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260506</v>
      </c>
      <c r="B2">
        <v>4</v>
      </c>
      <c r="C2" t="s">
        <v>83</v>
      </c>
      <c r="D2" t="s">
        <v>77</v>
      </c>
      <c r="E2">
        <v>46</v>
      </c>
      <c r="F2" t="s">
        <v>30</v>
      </c>
      <c r="G2">
        <f>VLOOKUP(F2,选手工资!A1:B28,2,FALSE)</f>
        <v>8</v>
      </c>
      <c r="H2" t="s">
        <v>117</v>
      </c>
      <c r="I2">
        <v>2</v>
      </c>
      <c r="J2">
        <v>30</v>
      </c>
      <c r="K2">
        <v>13</v>
      </c>
      <c r="L2">
        <v>6</v>
      </c>
      <c r="M2">
        <v>22</v>
      </c>
      <c r="N2" s="1">
        <v>0.761</v>
      </c>
      <c r="O2" s="1">
        <v>0.41</v>
      </c>
      <c r="P2">
        <v>37486</v>
      </c>
      <c r="Q2">
        <v>528</v>
      </c>
      <c r="R2">
        <v>5</v>
      </c>
      <c r="S2">
        <v>713</v>
      </c>
      <c r="T2">
        <v>1159</v>
      </c>
      <c r="U2">
        <v>7</v>
      </c>
      <c r="V2">
        <v>0</v>
      </c>
      <c r="W2">
        <v>1</v>
      </c>
      <c r="X2">
        <v>82237</v>
      </c>
      <c r="Y2">
        <v>5914</v>
      </c>
      <c r="Z2">
        <v>68410</v>
      </c>
      <c r="AA2" s="1">
        <v>0.497</v>
      </c>
      <c r="AB2">
        <v>1039</v>
      </c>
      <c r="AC2" s="3">
        <v>0.161111111111111</v>
      </c>
      <c r="AD2">
        <v>9</v>
      </c>
      <c r="AE2">
        <v>3777</v>
      </c>
      <c r="AF2">
        <v>7</v>
      </c>
      <c r="AG2">
        <v>100</v>
      </c>
      <c r="AH2">
        <v>2</v>
      </c>
      <c r="AI2">
        <v>2</v>
      </c>
    </row>
    <row r="3" spans="1:35">
      <c r="A3">
        <v>260506</v>
      </c>
      <c r="B3">
        <v>4</v>
      </c>
      <c r="C3" t="s">
        <v>83</v>
      </c>
      <c r="D3" t="s">
        <v>77</v>
      </c>
      <c r="E3">
        <v>46</v>
      </c>
      <c r="F3" t="s">
        <v>14</v>
      </c>
      <c r="G3">
        <f>VLOOKUP(F3,选手工资!A2:B29,2,FALSE)</f>
        <v>8</v>
      </c>
      <c r="H3" t="s">
        <v>80</v>
      </c>
      <c r="I3">
        <v>3</v>
      </c>
      <c r="J3">
        <v>29</v>
      </c>
      <c r="K3">
        <v>15</v>
      </c>
      <c r="L3">
        <v>5</v>
      </c>
      <c r="M3">
        <v>19</v>
      </c>
      <c r="N3" s="1">
        <v>0.739</v>
      </c>
      <c r="O3" s="1">
        <v>0.215</v>
      </c>
      <c r="P3">
        <v>35367</v>
      </c>
      <c r="Q3">
        <v>514</v>
      </c>
      <c r="R3">
        <v>16</v>
      </c>
      <c r="S3">
        <v>674</v>
      </c>
      <c r="T3">
        <v>1000</v>
      </c>
      <c r="U3">
        <v>5</v>
      </c>
      <c r="V3">
        <v>6182</v>
      </c>
      <c r="W3">
        <v>0</v>
      </c>
      <c r="X3">
        <v>43236</v>
      </c>
      <c r="Y3">
        <v>6337</v>
      </c>
      <c r="Z3">
        <v>102848</v>
      </c>
      <c r="AA3" s="1">
        <v>0.562</v>
      </c>
      <c r="AB3">
        <v>1843</v>
      </c>
      <c r="AC3" s="3">
        <v>0.220138888888889</v>
      </c>
      <c r="AD3">
        <v>5</v>
      </c>
      <c r="AE3">
        <v>4964</v>
      </c>
      <c r="AF3">
        <v>7</v>
      </c>
      <c r="AG3">
        <v>0</v>
      </c>
      <c r="AH3">
        <v>2</v>
      </c>
      <c r="AI3">
        <v>0</v>
      </c>
    </row>
    <row r="4" spans="1:35">
      <c r="A4">
        <v>260506</v>
      </c>
      <c r="B4">
        <v>4</v>
      </c>
      <c r="C4" t="s">
        <v>83</v>
      </c>
      <c r="D4" t="s">
        <v>77</v>
      </c>
      <c r="E4">
        <v>46</v>
      </c>
      <c r="F4" t="s">
        <v>18</v>
      </c>
      <c r="G4">
        <f>VLOOKUP(F4,选手工资!A4:B31,2,FALSE)</f>
        <v>5</v>
      </c>
      <c r="H4" t="s">
        <v>118</v>
      </c>
      <c r="I4">
        <v>1</v>
      </c>
      <c r="J4">
        <v>27</v>
      </c>
      <c r="K4">
        <v>6</v>
      </c>
      <c r="L4">
        <v>10</v>
      </c>
      <c r="M4">
        <v>16</v>
      </c>
      <c r="N4" s="1">
        <v>0.478</v>
      </c>
      <c r="O4" s="1">
        <v>0.139</v>
      </c>
      <c r="P4">
        <v>29241</v>
      </c>
      <c r="Q4">
        <v>560</v>
      </c>
      <c r="R4">
        <v>11</v>
      </c>
      <c r="S4">
        <v>634</v>
      </c>
      <c r="T4">
        <v>780</v>
      </c>
      <c r="U4">
        <v>0</v>
      </c>
      <c r="V4">
        <v>0</v>
      </c>
      <c r="W4">
        <v>0</v>
      </c>
      <c r="X4">
        <v>27914</v>
      </c>
      <c r="Y4">
        <v>550</v>
      </c>
      <c r="Z4">
        <v>87989</v>
      </c>
      <c r="AA4" s="1">
        <v>0.559</v>
      </c>
      <c r="AB4">
        <v>3861</v>
      </c>
      <c r="AC4" s="3">
        <v>0.366666666666667</v>
      </c>
      <c r="AD4">
        <v>6</v>
      </c>
      <c r="AE4">
        <v>3902</v>
      </c>
      <c r="AF4">
        <v>6</v>
      </c>
      <c r="AG4">
        <v>50</v>
      </c>
      <c r="AH4">
        <v>0</v>
      </c>
      <c r="AI4">
        <v>3</v>
      </c>
    </row>
    <row r="5" spans="1:35">
      <c r="A5">
        <v>260506</v>
      </c>
      <c r="B5">
        <v>4</v>
      </c>
      <c r="C5" t="s">
        <v>83</v>
      </c>
      <c r="D5" t="s">
        <v>77</v>
      </c>
      <c r="E5">
        <v>46</v>
      </c>
      <c r="F5" t="s">
        <v>25</v>
      </c>
      <c r="G5">
        <f>VLOOKUP(F5,选手工资!A3:B30,2,FALSE)</f>
        <v>5.5</v>
      </c>
      <c r="H5" t="s">
        <v>106</v>
      </c>
      <c r="I5">
        <v>4</v>
      </c>
      <c r="J5">
        <v>24</v>
      </c>
      <c r="K5">
        <v>9</v>
      </c>
      <c r="L5">
        <v>5</v>
      </c>
      <c r="M5">
        <v>23</v>
      </c>
      <c r="N5" s="1">
        <v>0.696</v>
      </c>
      <c r="O5" s="1">
        <v>0.108</v>
      </c>
      <c r="P5">
        <v>17557</v>
      </c>
      <c r="Q5">
        <v>50</v>
      </c>
      <c r="R5">
        <v>1</v>
      </c>
      <c r="S5">
        <v>339</v>
      </c>
      <c r="T5">
        <v>564</v>
      </c>
      <c r="U5">
        <v>0</v>
      </c>
      <c r="V5">
        <v>60</v>
      </c>
      <c r="W5">
        <v>1</v>
      </c>
      <c r="X5">
        <v>21655</v>
      </c>
      <c r="Y5">
        <v>140</v>
      </c>
      <c r="Z5">
        <v>40789</v>
      </c>
      <c r="AA5" s="1">
        <v>0.542</v>
      </c>
      <c r="AB5">
        <v>933</v>
      </c>
      <c r="AC5" s="3">
        <v>0.220138888888889</v>
      </c>
      <c r="AD5">
        <v>1</v>
      </c>
      <c r="AE5">
        <v>2936</v>
      </c>
      <c r="AF5">
        <v>6</v>
      </c>
      <c r="AG5">
        <v>1350</v>
      </c>
      <c r="AH5">
        <v>5</v>
      </c>
      <c r="AI5">
        <v>19</v>
      </c>
    </row>
    <row r="6" spans="1:35">
      <c r="A6">
        <v>260506</v>
      </c>
      <c r="B6">
        <v>4</v>
      </c>
      <c r="C6" t="s">
        <v>83</v>
      </c>
      <c r="D6" t="s">
        <v>77</v>
      </c>
      <c r="E6">
        <v>46</v>
      </c>
      <c r="F6" t="s">
        <v>41</v>
      </c>
      <c r="G6">
        <f>VLOOKUP(F6,选手工资!A5:B32,2,FALSE)</f>
        <v>2</v>
      </c>
      <c r="H6" t="s">
        <v>119</v>
      </c>
      <c r="I6">
        <v>5</v>
      </c>
      <c r="J6">
        <v>25</v>
      </c>
      <c r="K6">
        <v>3</v>
      </c>
      <c r="L6">
        <v>10</v>
      </c>
      <c r="M6">
        <v>30</v>
      </c>
      <c r="N6" s="1">
        <v>0.717</v>
      </c>
      <c r="O6" s="1">
        <v>0.128</v>
      </c>
      <c r="P6">
        <v>21681</v>
      </c>
      <c r="Q6">
        <v>92</v>
      </c>
      <c r="R6">
        <v>1</v>
      </c>
      <c r="S6">
        <v>442</v>
      </c>
      <c r="T6">
        <v>672</v>
      </c>
      <c r="U6">
        <v>1</v>
      </c>
      <c r="V6">
        <v>156</v>
      </c>
      <c r="W6">
        <v>0</v>
      </c>
      <c r="X6">
        <v>25744</v>
      </c>
      <c r="Y6">
        <v>3045</v>
      </c>
      <c r="Z6">
        <v>82787</v>
      </c>
      <c r="AA6" s="1">
        <v>0.481</v>
      </c>
      <c r="AB6">
        <v>2209</v>
      </c>
      <c r="AC6" s="3">
        <v>0.349305555555556</v>
      </c>
      <c r="AD6">
        <v>2</v>
      </c>
      <c r="AE6">
        <v>1510</v>
      </c>
      <c r="AF6">
        <v>5</v>
      </c>
      <c r="AG6">
        <v>200</v>
      </c>
      <c r="AH6">
        <v>1</v>
      </c>
      <c r="AI6">
        <v>4</v>
      </c>
    </row>
    <row r="7" spans="1:35">
      <c r="A7">
        <v>260506</v>
      </c>
      <c r="B7">
        <v>4</v>
      </c>
      <c r="C7" t="s">
        <v>76</v>
      </c>
      <c r="D7" t="s">
        <v>84</v>
      </c>
      <c r="E7">
        <v>36</v>
      </c>
      <c r="F7" t="s">
        <v>19</v>
      </c>
      <c r="G7">
        <v>10</v>
      </c>
      <c r="H7" t="s">
        <v>120</v>
      </c>
      <c r="I7">
        <v>2</v>
      </c>
      <c r="J7">
        <v>27</v>
      </c>
      <c r="K7">
        <v>18</v>
      </c>
      <c r="L7">
        <v>9</v>
      </c>
      <c r="M7">
        <v>7</v>
      </c>
      <c r="N7" s="1">
        <v>0.694</v>
      </c>
      <c r="O7" s="1">
        <v>0.332</v>
      </c>
      <c r="P7">
        <v>28251</v>
      </c>
      <c r="Q7">
        <v>347</v>
      </c>
      <c r="R7">
        <v>7</v>
      </c>
      <c r="S7">
        <v>604</v>
      </c>
      <c r="T7">
        <v>842</v>
      </c>
      <c r="U7">
        <v>6</v>
      </c>
      <c r="V7">
        <v>4343</v>
      </c>
      <c r="W7">
        <v>0</v>
      </c>
      <c r="X7">
        <v>59963</v>
      </c>
      <c r="Y7">
        <v>3779</v>
      </c>
      <c r="Z7">
        <v>88533</v>
      </c>
      <c r="AA7" s="1">
        <v>0.42</v>
      </c>
      <c r="AB7">
        <v>2818</v>
      </c>
      <c r="AC7" s="3">
        <v>0.342361111111111</v>
      </c>
      <c r="AD7">
        <v>10</v>
      </c>
      <c r="AE7">
        <v>3916</v>
      </c>
      <c r="AF7">
        <v>9</v>
      </c>
      <c r="AG7">
        <v>100</v>
      </c>
      <c r="AH7">
        <v>1</v>
      </c>
      <c r="AI7">
        <v>1</v>
      </c>
    </row>
    <row r="8" spans="1:35">
      <c r="A8">
        <v>260506</v>
      </c>
      <c r="B8">
        <v>4</v>
      </c>
      <c r="C8" t="s">
        <v>76</v>
      </c>
      <c r="D8" t="s">
        <v>84</v>
      </c>
      <c r="E8">
        <v>36</v>
      </c>
      <c r="F8" t="s">
        <v>17</v>
      </c>
      <c r="G8" t="e">
        <f>VLOOKUP(F8,选手工资!A9:B36,2,FALSE)</f>
        <v>#N/A</v>
      </c>
      <c r="H8" t="s">
        <v>111</v>
      </c>
      <c r="I8">
        <v>1</v>
      </c>
      <c r="J8">
        <v>28</v>
      </c>
      <c r="K8">
        <v>6</v>
      </c>
      <c r="L8">
        <v>6</v>
      </c>
      <c r="M8">
        <v>9</v>
      </c>
      <c r="N8" s="1">
        <v>0.417</v>
      </c>
      <c r="O8" s="1">
        <v>0.243</v>
      </c>
      <c r="P8">
        <v>37999</v>
      </c>
      <c r="Q8">
        <v>648</v>
      </c>
      <c r="R8">
        <v>19</v>
      </c>
      <c r="S8">
        <v>727</v>
      </c>
      <c r="T8">
        <v>912</v>
      </c>
      <c r="U8">
        <v>2</v>
      </c>
      <c r="V8">
        <v>0</v>
      </c>
      <c r="W8">
        <v>1</v>
      </c>
      <c r="X8">
        <v>43868</v>
      </c>
      <c r="Y8">
        <v>6931</v>
      </c>
      <c r="Z8">
        <v>60956</v>
      </c>
      <c r="AA8" s="1">
        <v>0.503</v>
      </c>
      <c r="AB8">
        <v>2020</v>
      </c>
      <c r="AC8" s="3">
        <v>0.202777777777778</v>
      </c>
      <c r="AD8">
        <v>8</v>
      </c>
      <c r="AE8">
        <v>3508</v>
      </c>
      <c r="AF8">
        <v>6</v>
      </c>
      <c r="AG8">
        <v>100</v>
      </c>
      <c r="AH8">
        <v>2</v>
      </c>
      <c r="AI8">
        <v>5</v>
      </c>
    </row>
    <row r="9" spans="1:35">
      <c r="A9">
        <v>260506</v>
      </c>
      <c r="B9">
        <v>4</v>
      </c>
      <c r="C9" t="s">
        <v>76</v>
      </c>
      <c r="D9" t="s">
        <v>84</v>
      </c>
      <c r="E9">
        <v>36</v>
      </c>
      <c r="F9" t="s">
        <v>36</v>
      </c>
      <c r="G9">
        <f>VLOOKUP(F9,选手工资!A10:B37,2,FALSE)</f>
        <v>4.5</v>
      </c>
      <c r="H9" t="s">
        <v>87</v>
      </c>
      <c r="I9">
        <v>3</v>
      </c>
      <c r="J9">
        <v>26</v>
      </c>
      <c r="K9">
        <v>5</v>
      </c>
      <c r="L9">
        <v>8</v>
      </c>
      <c r="M9">
        <v>18</v>
      </c>
      <c r="N9" s="1">
        <v>0.639</v>
      </c>
      <c r="O9" s="1">
        <v>0.18</v>
      </c>
      <c r="P9">
        <v>24310</v>
      </c>
      <c r="Q9">
        <v>330</v>
      </c>
      <c r="R9">
        <v>7</v>
      </c>
      <c r="S9">
        <v>515</v>
      </c>
      <c r="T9">
        <v>750</v>
      </c>
      <c r="U9">
        <v>4</v>
      </c>
      <c r="V9">
        <v>3000</v>
      </c>
      <c r="W9">
        <v>2</v>
      </c>
      <c r="X9">
        <v>32475</v>
      </c>
      <c r="Y9">
        <v>510</v>
      </c>
      <c r="Z9">
        <v>114407</v>
      </c>
      <c r="AA9" s="1">
        <v>0.517</v>
      </c>
      <c r="AB9">
        <v>2706</v>
      </c>
      <c r="AC9" s="3">
        <v>0.243055555555556</v>
      </c>
      <c r="AD9">
        <v>4</v>
      </c>
      <c r="AE9">
        <v>4126</v>
      </c>
      <c r="AF9">
        <v>6</v>
      </c>
      <c r="AG9">
        <v>0</v>
      </c>
      <c r="AH9">
        <v>1</v>
      </c>
      <c r="AI9">
        <v>2</v>
      </c>
    </row>
    <row r="10" spans="1:35">
      <c r="A10">
        <v>260506</v>
      </c>
      <c r="B10">
        <v>4</v>
      </c>
      <c r="C10" t="s">
        <v>76</v>
      </c>
      <c r="D10" t="s">
        <v>84</v>
      </c>
      <c r="E10">
        <v>36</v>
      </c>
      <c r="F10" t="s">
        <v>38</v>
      </c>
      <c r="G10">
        <f>VLOOKUP(F10,选手工资!A8:B35,2,FALSE)</f>
        <v>3</v>
      </c>
      <c r="H10" t="s">
        <v>121</v>
      </c>
      <c r="I10">
        <v>5</v>
      </c>
      <c r="J10">
        <v>25</v>
      </c>
      <c r="K10">
        <v>2</v>
      </c>
      <c r="L10">
        <v>12</v>
      </c>
      <c r="M10">
        <v>19</v>
      </c>
      <c r="N10" s="1">
        <v>0.583</v>
      </c>
      <c r="O10" s="1">
        <v>0.102</v>
      </c>
      <c r="P10">
        <v>12752</v>
      </c>
      <c r="Q10">
        <v>92</v>
      </c>
      <c r="R10">
        <v>0</v>
      </c>
      <c r="S10">
        <v>321</v>
      </c>
      <c r="T10">
        <v>626</v>
      </c>
      <c r="U10">
        <v>2</v>
      </c>
      <c r="V10">
        <v>0</v>
      </c>
      <c r="W10">
        <v>2</v>
      </c>
      <c r="X10">
        <v>18534</v>
      </c>
      <c r="Y10">
        <v>44</v>
      </c>
      <c r="Z10">
        <v>40457</v>
      </c>
      <c r="AA10" s="1">
        <v>0.35</v>
      </c>
      <c r="AB10">
        <v>1448</v>
      </c>
      <c r="AC10" s="3">
        <v>0.286805555555556</v>
      </c>
      <c r="AD10">
        <v>3</v>
      </c>
      <c r="AE10">
        <v>1770</v>
      </c>
      <c r="AF10">
        <v>6</v>
      </c>
      <c r="AG10">
        <v>900</v>
      </c>
      <c r="AH10">
        <v>2</v>
      </c>
      <c r="AI10">
        <v>6</v>
      </c>
    </row>
    <row r="11" spans="1:35">
      <c r="A11">
        <v>260506</v>
      </c>
      <c r="B11">
        <v>4</v>
      </c>
      <c r="C11" t="s">
        <v>76</v>
      </c>
      <c r="D11" t="s">
        <v>84</v>
      </c>
      <c r="E11">
        <v>36</v>
      </c>
      <c r="F11" t="s">
        <v>28</v>
      </c>
      <c r="G11">
        <f>VLOOKUP(F11,选手工资!A6:B33,2,FALSE)</f>
        <v>6</v>
      </c>
      <c r="H11" t="s">
        <v>112</v>
      </c>
      <c r="I11">
        <v>4</v>
      </c>
      <c r="J11">
        <v>25</v>
      </c>
      <c r="K11">
        <v>5</v>
      </c>
      <c r="L11">
        <v>11</v>
      </c>
      <c r="M11">
        <v>19</v>
      </c>
      <c r="N11" s="1">
        <v>0.667</v>
      </c>
      <c r="O11" s="1">
        <v>0.144</v>
      </c>
      <c r="P11">
        <v>15015</v>
      </c>
      <c r="Q11">
        <v>107</v>
      </c>
      <c r="R11">
        <v>7</v>
      </c>
      <c r="S11">
        <v>355</v>
      </c>
      <c r="T11">
        <v>640</v>
      </c>
      <c r="U11">
        <v>3</v>
      </c>
      <c r="V11">
        <v>240</v>
      </c>
      <c r="W11">
        <v>1</v>
      </c>
      <c r="X11">
        <v>26001</v>
      </c>
      <c r="Y11">
        <v>62</v>
      </c>
      <c r="Z11">
        <v>56042</v>
      </c>
      <c r="AA11" s="1">
        <v>0.329</v>
      </c>
      <c r="AB11">
        <v>1495</v>
      </c>
      <c r="AC11" s="3">
        <v>0.311805555555556</v>
      </c>
      <c r="AD11">
        <v>7</v>
      </c>
      <c r="AE11">
        <v>2230</v>
      </c>
      <c r="AF11">
        <v>5</v>
      </c>
      <c r="AG11">
        <v>1800</v>
      </c>
      <c r="AH11">
        <v>4</v>
      </c>
      <c r="AI11">
        <v>4</v>
      </c>
    </row>
    <row r="14" spans="1:35">
      <c r="A14" t="s">
        <v>90</v>
      </c>
      <c r="B14" s="4">
        <v>8800244965</v>
      </c>
      <c r="C14" s="4"/>
    </row>
    <row r="15" spans="1:35">
      <c r="A15" t="s">
        <v>91</v>
      </c>
      <c r="B15" s="7" t="s">
        <v>122</v>
      </c>
    </row>
  </sheetData>
  <sortState ref="A2:AF11">
    <sortCondition ref="C2"/>
  </sortState>
  <mergeCells count="1">
    <mergeCell ref="B14:C1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1" topLeftCell="I1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6" max="8" width="12.875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260507</v>
      </c>
      <c r="B2">
        <v>1</v>
      </c>
      <c r="C2" t="s">
        <v>83</v>
      </c>
      <c r="D2" t="s">
        <v>77</v>
      </c>
      <c r="E2">
        <v>58</v>
      </c>
      <c r="F2" t="s">
        <v>14</v>
      </c>
      <c r="G2">
        <f>VLOOKUP(F2,选手工资!A1:B28,2,FALSE)</f>
        <v>8</v>
      </c>
      <c r="H2" t="s">
        <v>82</v>
      </c>
      <c r="I2">
        <v>1</v>
      </c>
      <c r="J2">
        <v>26</v>
      </c>
      <c r="K2">
        <v>26</v>
      </c>
      <c r="L2">
        <v>2</v>
      </c>
      <c r="M2">
        <v>20</v>
      </c>
      <c r="N2" s="1">
        <v>0.793</v>
      </c>
      <c r="O2" s="1">
        <v>0.308</v>
      </c>
      <c r="P2">
        <v>26856</v>
      </c>
      <c r="Q2">
        <v>311</v>
      </c>
      <c r="R2">
        <v>17</v>
      </c>
      <c r="S2">
        <v>774</v>
      </c>
      <c r="T2">
        <v>1091</v>
      </c>
      <c r="U2">
        <v>2</v>
      </c>
      <c r="V2">
        <v>0</v>
      </c>
      <c r="W2">
        <v>0</v>
      </c>
      <c r="X2">
        <v>41895</v>
      </c>
      <c r="Y2">
        <v>12049</v>
      </c>
      <c r="Z2">
        <v>41420</v>
      </c>
      <c r="AA2" s="1">
        <v>0.408</v>
      </c>
      <c r="AB2">
        <v>585</v>
      </c>
      <c r="AC2" s="3">
        <v>0.075</v>
      </c>
      <c r="AD2">
        <v>9</v>
      </c>
      <c r="AE2">
        <v>4763</v>
      </c>
      <c r="AF2">
        <v>8</v>
      </c>
      <c r="AG2">
        <v>0</v>
      </c>
      <c r="AH2">
        <v>0</v>
      </c>
      <c r="AI2">
        <v>0</v>
      </c>
    </row>
    <row r="3" spans="1:35">
      <c r="A3">
        <v>260507</v>
      </c>
      <c r="B3">
        <v>1</v>
      </c>
      <c r="C3" t="s">
        <v>83</v>
      </c>
      <c r="D3" t="s">
        <v>77</v>
      </c>
      <c r="E3">
        <v>58</v>
      </c>
      <c r="F3" t="s">
        <v>21</v>
      </c>
      <c r="G3">
        <f>VLOOKUP(F3,选手工资!A3:B30,2,FALSE)</f>
        <v>7.5</v>
      </c>
      <c r="H3" t="s">
        <v>103</v>
      </c>
      <c r="I3">
        <v>2</v>
      </c>
      <c r="J3">
        <v>25</v>
      </c>
      <c r="K3">
        <v>15</v>
      </c>
      <c r="L3">
        <v>1</v>
      </c>
      <c r="M3">
        <v>36</v>
      </c>
      <c r="N3" s="1">
        <v>0.879</v>
      </c>
      <c r="O3" s="1">
        <v>0.38</v>
      </c>
      <c r="P3">
        <v>22610</v>
      </c>
      <c r="Q3">
        <v>232</v>
      </c>
      <c r="R3">
        <v>2</v>
      </c>
      <c r="S3">
        <v>636</v>
      </c>
      <c r="T3">
        <v>977</v>
      </c>
      <c r="U3">
        <v>2</v>
      </c>
      <c r="V3">
        <v>0</v>
      </c>
      <c r="W3">
        <v>1</v>
      </c>
      <c r="X3">
        <v>51623</v>
      </c>
      <c r="Y3">
        <v>1394</v>
      </c>
      <c r="Z3">
        <v>37401</v>
      </c>
      <c r="AA3" s="1">
        <v>0.538</v>
      </c>
      <c r="AB3">
        <v>417</v>
      </c>
      <c r="AC3" s="3">
        <v>0.05625</v>
      </c>
      <c r="AD3">
        <v>5</v>
      </c>
      <c r="AE3">
        <v>3626</v>
      </c>
      <c r="AF3">
        <v>7</v>
      </c>
      <c r="AG3">
        <v>0</v>
      </c>
      <c r="AH3">
        <v>0</v>
      </c>
      <c r="AI3">
        <v>1</v>
      </c>
    </row>
    <row r="4" spans="1:35">
      <c r="A4">
        <v>260507</v>
      </c>
      <c r="B4">
        <v>1</v>
      </c>
      <c r="C4" t="s">
        <v>83</v>
      </c>
      <c r="D4" t="s">
        <v>77</v>
      </c>
      <c r="E4">
        <v>58</v>
      </c>
      <c r="F4" t="s">
        <v>23</v>
      </c>
      <c r="G4">
        <f>VLOOKUP(F4,选手工资!A4:B31,2,FALSE)</f>
        <v>6.5</v>
      </c>
      <c r="H4" t="s">
        <v>89</v>
      </c>
      <c r="I4">
        <v>4</v>
      </c>
      <c r="J4">
        <v>20</v>
      </c>
      <c r="K4">
        <v>5</v>
      </c>
      <c r="L4">
        <v>6</v>
      </c>
      <c r="M4">
        <v>31</v>
      </c>
      <c r="N4" s="1">
        <v>0.621</v>
      </c>
      <c r="O4" s="1">
        <v>0.112</v>
      </c>
      <c r="P4">
        <v>12550</v>
      </c>
      <c r="Q4">
        <v>45</v>
      </c>
      <c r="R4">
        <v>1</v>
      </c>
      <c r="S4">
        <v>388</v>
      </c>
      <c r="T4">
        <v>600</v>
      </c>
      <c r="U4">
        <v>5</v>
      </c>
      <c r="V4">
        <v>0</v>
      </c>
      <c r="W4">
        <v>0</v>
      </c>
      <c r="X4">
        <v>15265</v>
      </c>
      <c r="Y4">
        <v>178</v>
      </c>
      <c r="Z4">
        <v>31802</v>
      </c>
      <c r="AA4" s="1">
        <v>0.47</v>
      </c>
      <c r="AB4">
        <v>719</v>
      </c>
      <c r="AC4" s="3">
        <v>0.139583333333333</v>
      </c>
      <c r="AD4">
        <v>2</v>
      </c>
      <c r="AE4">
        <v>1906</v>
      </c>
      <c r="AF4">
        <v>5</v>
      </c>
      <c r="AG4">
        <v>360</v>
      </c>
      <c r="AH4">
        <v>0</v>
      </c>
      <c r="AI4">
        <v>10</v>
      </c>
    </row>
    <row r="5" spans="1:35">
      <c r="A5">
        <v>260507</v>
      </c>
      <c r="B5">
        <v>1</v>
      </c>
      <c r="C5" t="s">
        <v>83</v>
      </c>
      <c r="D5" t="s">
        <v>77</v>
      </c>
      <c r="E5">
        <v>58</v>
      </c>
      <c r="F5" t="s">
        <v>24</v>
      </c>
      <c r="G5">
        <f>VLOOKUP(F5,选手工资!A2:B29,2,FALSE)</f>
        <v>3</v>
      </c>
      <c r="H5" t="s">
        <v>123</v>
      </c>
      <c r="I5">
        <v>5</v>
      </c>
      <c r="J5">
        <v>19</v>
      </c>
      <c r="K5">
        <v>8</v>
      </c>
      <c r="L5">
        <v>10</v>
      </c>
      <c r="M5">
        <v>29</v>
      </c>
      <c r="N5" s="1">
        <v>0.638</v>
      </c>
      <c r="O5" s="1">
        <v>0.085</v>
      </c>
      <c r="P5">
        <v>12128</v>
      </c>
      <c r="Q5">
        <v>20</v>
      </c>
      <c r="R5">
        <v>1</v>
      </c>
      <c r="S5">
        <v>350</v>
      </c>
      <c r="T5">
        <v>559</v>
      </c>
      <c r="U5">
        <v>4</v>
      </c>
      <c r="V5">
        <v>195</v>
      </c>
      <c r="W5">
        <v>1</v>
      </c>
      <c r="X5">
        <v>11520</v>
      </c>
      <c r="Y5">
        <v>309</v>
      </c>
      <c r="Z5">
        <v>24932</v>
      </c>
      <c r="AA5" s="1">
        <v>0.277</v>
      </c>
      <c r="AB5">
        <v>1029</v>
      </c>
      <c r="AC5" s="3">
        <v>0.227777777777778</v>
      </c>
      <c r="AD5">
        <v>1</v>
      </c>
      <c r="AE5">
        <v>2335</v>
      </c>
      <c r="AF5">
        <v>5</v>
      </c>
      <c r="AG5">
        <v>1000</v>
      </c>
      <c r="AH5">
        <v>2</v>
      </c>
      <c r="AI5">
        <v>4</v>
      </c>
    </row>
    <row r="6" spans="1:35">
      <c r="A6">
        <v>260507</v>
      </c>
      <c r="B6">
        <v>1</v>
      </c>
      <c r="C6" t="s">
        <v>83</v>
      </c>
      <c r="D6" t="s">
        <v>77</v>
      </c>
      <c r="E6">
        <v>58</v>
      </c>
      <c r="F6" t="s">
        <v>32</v>
      </c>
      <c r="G6">
        <f>VLOOKUP(F6,选手工资!A5:B32,2,FALSE)</f>
        <v>4</v>
      </c>
      <c r="H6" t="s">
        <v>124</v>
      </c>
      <c r="I6">
        <v>3</v>
      </c>
      <c r="J6">
        <v>20</v>
      </c>
      <c r="K6">
        <v>4</v>
      </c>
      <c r="L6">
        <v>9</v>
      </c>
      <c r="M6">
        <v>26</v>
      </c>
      <c r="N6" s="1">
        <v>0.517</v>
      </c>
      <c r="O6" s="1">
        <v>0.116</v>
      </c>
      <c r="P6">
        <v>14109</v>
      </c>
      <c r="Q6">
        <v>127</v>
      </c>
      <c r="R6">
        <v>1</v>
      </c>
      <c r="S6">
        <v>396</v>
      </c>
      <c r="T6">
        <v>616</v>
      </c>
      <c r="U6">
        <v>1</v>
      </c>
      <c r="V6">
        <v>0</v>
      </c>
      <c r="W6">
        <v>0</v>
      </c>
      <c r="X6">
        <v>15713</v>
      </c>
      <c r="Y6">
        <v>954</v>
      </c>
      <c r="Z6">
        <v>23935</v>
      </c>
      <c r="AA6" s="1">
        <v>0.304</v>
      </c>
      <c r="AB6">
        <v>572</v>
      </c>
      <c r="AC6" s="3">
        <v>0.163194444444444</v>
      </c>
      <c r="AD6">
        <v>6</v>
      </c>
      <c r="AE6">
        <v>2440</v>
      </c>
      <c r="AF6">
        <v>4</v>
      </c>
      <c r="AG6">
        <v>0</v>
      </c>
      <c r="AH6">
        <v>2</v>
      </c>
      <c r="AI6">
        <v>0</v>
      </c>
    </row>
    <row r="7" spans="1:35">
      <c r="A7">
        <v>260507</v>
      </c>
      <c r="B7">
        <v>1</v>
      </c>
      <c r="C7" t="s">
        <v>76</v>
      </c>
      <c r="D7" t="s">
        <v>84</v>
      </c>
      <c r="E7">
        <v>28</v>
      </c>
      <c r="F7" t="s">
        <v>30</v>
      </c>
      <c r="G7">
        <v>8</v>
      </c>
      <c r="H7" t="s">
        <v>111</v>
      </c>
      <c r="I7">
        <v>2</v>
      </c>
      <c r="J7">
        <v>20</v>
      </c>
      <c r="K7">
        <v>10</v>
      </c>
      <c r="L7">
        <v>10</v>
      </c>
      <c r="M7">
        <v>9</v>
      </c>
      <c r="N7" s="1">
        <v>0.679</v>
      </c>
      <c r="O7" s="1">
        <v>0.324</v>
      </c>
      <c r="P7">
        <v>13466</v>
      </c>
      <c r="Q7">
        <v>163</v>
      </c>
      <c r="R7">
        <v>24</v>
      </c>
      <c r="S7">
        <v>431</v>
      </c>
      <c r="T7">
        <v>630</v>
      </c>
      <c r="U7">
        <v>0</v>
      </c>
      <c r="V7">
        <v>0</v>
      </c>
      <c r="W7">
        <v>0</v>
      </c>
      <c r="X7">
        <v>30209</v>
      </c>
      <c r="Y7">
        <v>0</v>
      </c>
      <c r="Z7">
        <v>58878</v>
      </c>
      <c r="AA7" s="1">
        <v>0.437</v>
      </c>
      <c r="AB7">
        <v>1723</v>
      </c>
      <c r="AC7" s="3">
        <v>0.3</v>
      </c>
      <c r="AD7">
        <v>10</v>
      </c>
      <c r="AE7">
        <v>4323</v>
      </c>
      <c r="AF7">
        <v>8</v>
      </c>
      <c r="AG7">
        <v>300</v>
      </c>
      <c r="AH7">
        <v>0</v>
      </c>
      <c r="AI7">
        <v>3</v>
      </c>
    </row>
    <row r="8" spans="1:35">
      <c r="A8">
        <v>260507</v>
      </c>
      <c r="B8">
        <v>1</v>
      </c>
      <c r="C8" t="s">
        <v>76</v>
      </c>
      <c r="D8" t="s">
        <v>84</v>
      </c>
      <c r="E8">
        <v>28</v>
      </c>
      <c r="F8" t="s">
        <v>19</v>
      </c>
      <c r="G8">
        <v>10</v>
      </c>
      <c r="H8" t="s">
        <v>125</v>
      </c>
      <c r="I8">
        <v>1</v>
      </c>
      <c r="J8">
        <v>23</v>
      </c>
      <c r="K8">
        <v>10</v>
      </c>
      <c r="L8">
        <v>8</v>
      </c>
      <c r="M8">
        <v>13</v>
      </c>
      <c r="N8" s="1">
        <v>0.821</v>
      </c>
      <c r="O8" s="1">
        <v>0.325</v>
      </c>
      <c r="P8">
        <v>17796</v>
      </c>
      <c r="Q8">
        <v>265</v>
      </c>
      <c r="R8">
        <v>14</v>
      </c>
      <c r="S8">
        <v>566</v>
      </c>
      <c r="T8">
        <v>813</v>
      </c>
      <c r="U8">
        <v>0</v>
      </c>
      <c r="V8">
        <v>0</v>
      </c>
      <c r="W8">
        <v>0</v>
      </c>
      <c r="X8">
        <v>30307</v>
      </c>
      <c r="Y8">
        <v>728</v>
      </c>
      <c r="Z8">
        <v>55377</v>
      </c>
      <c r="AA8" s="1">
        <v>0.511</v>
      </c>
      <c r="AB8">
        <v>2443</v>
      </c>
      <c r="AC8" s="3">
        <v>0.307638888888889</v>
      </c>
      <c r="AD8">
        <v>8</v>
      </c>
      <c r="AE8">
        <v>4318</v>
      </c>
      <c r="AF8">
        <v>7</v>
      </c>
      <c r="AG8">
        <v>50</v>
      </c>
      <c r="AH8">
        <v>1</v>
      </c>
      <c r="AI8">
        <v>0</v>
      </c>
    </row>
    <row r="9" spans="1:35">
      <c r="A9">
        <v>260507</v>
      </c>
      <c r="B9">
        <v>1</v>
      </c>
      <c r="C9" t="s">
        <v>76</v>
      </c>
      <c r="D9" t="s">
        <v>84</v>
      </c>
      <c r="E9">
        <v>28</v>
      </c>
      <c r="F9" t="s">
        <v>29</v>
      </c>
      <c r="G9">
        <f>VLOOKUP(F9,选手工资!A6:B33,2,FALSE)</f>
        <v>4</v>
      </c>
      <c r="H9" t="s">
        <v>80</v>
      </c>
      <c r="I9">
        <v>3</v>
      </c>
      <c r="J9">
        <v>17</v>
      </c>
      <c r="K9">
        <v>3</v>
      </c>
      <c r="L9">
        <v>12</v>
      </c>
      <c r="M9">
        <v>7</v>
      </c>
      <c r="N9" s="1">
        <v>0.357</v>
      </c>
      <c r="O9" s="1">
        <v>0.168</v>
      </c>
      <c r="P9">
        <v>10486</v>
      </c>
      <c r="Q9">
        <v>172</v>
      </c>
      <c r="R9">
        <v>1</v>
      </c>
      <c r="S9">
        <v>340</v>
      </c>
      <c r="T9">
        <v>444</v>
      </c>
      <c r="U9">
        <v>4</v>
      </c>
      <c r="V9">
        <v>1064</v>
      </c>
      <c r="W9">
        <v>0</v>
      </c>
      <c r="X9">
        <v>15713</v>
      </c>
      <c r="Y9">
        <v>0</v>
      </c>
      <c r="Z9">
        <v>58120</v>
      </c>
      <c r="AA9" s="1">
        <v>0.438</v>
      </c>
      <c r="AB9">
        <v>1454</v>
      </c>
      <c r="AC9" s="3">
        <v>0.339583333333333</v>
      </c>
      <c r="AD9">
        <v>7</v>
      </c>
      <c r="AE9">
        <v>2596</v>
      </c>
      <c r="AF9">
        <v>6</v>
      </c>
      <c r="AG9">
        <v>240</v>
      </c>
      <c r="AH9">
        <v>1</v>
      </c>
      <c r="AI9">
        <v>0</v>
      </c>
    </row>
    <row r="10" spans="1:35">
      <c r="A10">
        <v>260507</v>
      </c>
      <c r="B10">
        <v>1</v>
      </c>
      <c r="C10" t="s">
        <v>76</v>
      </c>
      <c r="D10" t="s">
        <v>84</v>
      </c>
      <c r="E10">
        <v>28</v>
      </c>
      <c r="F10" t="s">
        <v>41</v>
      </c>
      <c r="G10">
        <f>VLOOKUP(F10,选手工资!A10:B37,2,FALSE)</f>
        <v>2</v>
      </c>
      <c r="H10" t="s">
        <v>94</v>
      </c>
      <c r="I10">
        <v>5</v>
      </c>
      <c r="J10">
        <v>13</v>
      </c>
      <c r="K10">
        <v>2</v>
      </c>
      <c r="L10">
        <v>15</v>
      </c>
      <c r="M10">
        <v>18</v>
      </c>
      <c r="N10" s="1">
        <v>0.714</v>
      </c>
      <c r="O10" s="1">
        <v>0.098</v>
      </c>
      <c r="P10">
        <v>5871</v>
      </c>
      <c r="Q10">
        <v>10</v>
      </c>
      <c r="R10">
        <v>2</v>
      </c>
      <c r="S10">
        <v>242</v>
      </c>
      <c r="T10">
        <v>280</v>
      </c>
      <c r="U10">
        <v>0</v>
      </c>
      <c r="V10">
        <v>0</v>
      </c>
      <c r="W10">
        <v>0</v>
      </c>
      <c r="X10">
        <v>9182</v>
      </c>
      <c r="Y10">
        <v>0</v>
      </c>
      <c r="Z10">
        <v>33124</v>
      </c>
      <c r="AA10" s="1">
        <v>0.384</v>
      </c>
      <c r="AB10">
        <v>1163</v>
      </c>
      <c r="AC10" s="3">
        <v>0.292361111111111</v>
      </c>
      <c r="AD10">
        <v>4</v>
      </c>
      <c r="AE10">
        <v>1592</v>
      </c>
      <c r="AF10">
        <v>5</v>
      </c>
      <c r="AG10">
        <v>450</v>
      </c>
      <c r="AH10">
        <v>0</v>
      </c>
      <c r="AI10">
        <v>4</v>
      </c>
    </row>
    <row r="11" spans="1:35">
      <c r="A11">
        <v>260507</v>
      </c>
      <c r="B11">
        <v>1</v>
      </c>
      <c r="C11" t="s">
        <v>76</v>
      </c>
      <c r="D11" t="s">
        <v>84</v>
      </c>
      <c r="E11">
        <v>28</v>
      </c>
      <c r="F11" t="s">
        <v>22</v>
      </c>
      <c r="G11">
        <f>VLOOKUP(F11,选手工资!A9:B36,2,FALSE)</f>
        <v>4.5</v>
      </c>
      <c r="H11" t="s">
        <v>126</v>
      </c>
      <c r="I11">
        <v>4</v>
      </c>
      <c r="J11">
        <v>13</v>
      </c>
      <c r="K11">
        <v>3</v>
      </c>
      <c r="L11">
        <v>13</v>
      </c>
      <c r="M11">
        <v>12</v>
      </c>
      <c r="N11" s="1">
        <v>0.536</v>
      </c>
      <c r="O11" s="1">
        <v>0.085</v>
      </c>
      <c r="P11">
        <v>6788</v>
      </c>
      <c r="Q11">
        <v>52</v>
      </c>
      <c r="R11">
        <v>1</v>
      </c>
      <c r="S11">
        <v>248</v>
      </c>
      <c r="T11">
        <v>279</v>
      </c>
      <c r="U11">
        <v>2</v>
      </c>
      <c r="V11">
        <v>0</v>
      </c>
      <c r="W11">
        <v>0</v>
      </c>
      <c r="X11">
        <v>7953</v>
      </c>
      <c r="Y11">
        <v>0</v>
      </c>
      <c r="Z11">
        <v>37184</v>
      </c>
      <c r="AA11" s="1">
        <v>0.387</v>
      </c>
      <c r="AB11">
        <v>1440</v>
      </c>
      <c r="AC11" s="3">
        <v>0.247916666666667</v>
      </c>
      <c r="AD11">
        <v>3</v>
      </c>
      <c r="AE11">
        <v>2124</v>
      </c>
      <c r="AF11">
        <v>3</v>
      </c>
      <c r="AG11">
        <v>260</v>
      </c>
      <c r="AH11">
        <v>3</v>
      </c>
      <c r="AI11">
        <v>2</v>
      </c>
    </row>
    <row r="14" spans="1:35">
      <c r="A14" t="s">
        <v>90</v>
      </c>
      <c r="B14" s="4">
        <v>8801269989</v>
      </c>
      <c r="C14" s="4"/>
    </row>
    <row r="15" spans="1:35">
      <c r="A15" t="s">
        <v>91</v>
      </c>
      <c r="B15" s="7" t="s">
        <v>127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1" topLeftCell="U1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6" max="7" width="12.875" customWidth="1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260507</v>
      </c>
      <c r="B2">
        <v>2</v>
      </c>
      <c r="C2" t="s">
        <v>83</v>
      </c>
      <c r="D2" t="s">
        <v>77</v>
      </c>
      <c r="E2">
        <v>59</v>
      </c>
      <c r="F2" t="s">
        <v>13</v>
      </c>
      <c r="G2">
        <f>VLOOKUP(F2,选手工资!A2:B29,2,FALSE)</f>
        <v>7.5</v>
      </c>
      <c r="H2" t="s">
        <v>95</v>
      </c>
      <c r="I2">
        <v>1</v>
      </c>
      <c r="J2">
        <v>29</v>
      </c>
      <c r="K2">
        <v>15</v>
      </c>
      <c r="L2">
        <v>8</v>
      </c>
      <c r="M2">
        <v>31</v>
      </c>
      <c r="N2" s="1">
        <v>0.78</v>
      </c>
      <c r="O2" s="1">
        <v>0.425</v>
      </c>
      <c r="P2">
        <v>40875</v>
      </c>
      <c r="Q2">
        <v>632</v>
      </c>
      <c r="R2">
        <v>16</v>
      </c>
      <c r="S2">
        <v>806</v>
      </c>
      <c r="T2">
        <v>1041</v>
      </c>
      <c r="U2">
        <v>4</v>
      </c>
      <c r="V2">
        <v>0</v>
      </c>
      <c r="W2">
        <v>1</v>
      </c>
      <c r="X2">
        <v>109153</v>
      </c>
      <c r="Y2">
        <v>15908</v>
      </c>
      <c r="Z2">
        <v>101302</v>
      </c>
      <c r="AA2" s="1">
        <v>0.397</v>
      </c>
      <c r="AB2">
        <v>3900</v>
      </c>
      <c r="AC2" s="3">
        <v>0.329861111111111</v>
      </c>
      <c r="AD2">
        <v>1</v>
      </c>
      <c r="AE2">
        <v>4835</v>
      </c>
      <c r="AF2">
        <v>8</v>
      </c>
      <c r="AG2">
        <v>0</v>
      </c>
      <c r="AH2">
        <v>0</v>
      </c>
      <c r="AI2">
        <v>2</v>
      </c>
    </row>
    <row r="3" spans="1:35">
      <c r="A3">
        <v>260507</v>
      </c>
      <c r="B3">
        <v>2</v>
      </c>
      <c r="C3" t="s">
        <v>83</v>
      </c>
      <c r="D3" t="s">
        <v>77</v>
      </c>
      <c r="E3">
        <v>59</v>
      </c>
      <c r="F3" t="s">
        <v>19</v>
      </c>
      <c r="G3">
        <f>VLOOKUP(F3,选手工资!A1:B28,2,FALSE)</f>
        <v>10</v>
      </c>
      <c r="H3" t="s">
        <v>128</v>
      </c>
      <c r="I3">
        <v>2</v>
      </c>
      <c r="J3">
        <v>30</v>
      </c>
      <c r="K3">
        <v>22</v>
      </c>
      <c r="L3">
        <v>4</v>
      </c>
      <c r="M3">
        <v>24</v>
      </c>
      <c r="N3" s="1">
        <v>0.78</v>
      </c>
      <c r="O3" s="1">
        <v>0.267</v>
      </c>
      <c r="P3">
        <v>37300</v>
      </c>
      <c r="Q3">
        <v>532</v>
      </c>
      <c r="R3">
        <v>3</v>
      </c>
      <c r="S3">
        <v>739</v>
      </c>
      <c r="T3">
        <v>1104</v>
      </c>
      <c r="U3">
        <v>8</v>
      </c>
      <c r="V3">
        <v>0</v>
      </c>
      <c r="W3">
        <v>0</v>
      </c>
      <c r="X3">
        <v>68374</v>
      </c>
      <c r="Y3">
        <v>13573</v>
      </c>
      <c r="Z3">
        <v>77743</v>
      </c>
      <c r="AA3" s="1">
        <v>0.418</v>
      </c>
      <c r="AB3">
        <v>1334</v>
      </c>
      <c r="AC3" s="3">
        <v>0.102083333333333</v>
      </c>
      <c r="AD3">
        <v>5</v>
      </c>
      <c r="AE3">
        <v>4328</v>
      </c>
      <c r="AF3">
        <v>8</v>
      </c>
      <c r="AG3">
        <v>50</v>
      </c>
      <c r="AH3">
        <v>3</v>
      </c>
      <c r="AI3">
        <v>4</v>
      </c>
    </row>
    <row r="4" spans="1:35">
      <c r="A4">
        <v>260507</v>
      </c>
      <c r="B4">
        <v>2</v>
      </c>
      <c r="C4" t="s">
        <v>83</v>
      </c>
      <c r="D4" t="s">
        <v>77</v>
      </c>
      <c r="E4">
        <v>59</v>
      </c>
      <c r="F4" t="s">
        <v>21</v>
      </c>
      <c r="G4">
        <f>VLOOKUP(F4,选手工资!A5:B32,2,FALSE)</f>
        <v>7.5</v>
      </c>
      <c r="H4" t="s">
        <v>129</v>
      </c>
      <c r="I4">
        <v>3</v>
      </c>
      <c r="J4">
        <v>26</v>
      </c>
      <c r="K4">
        <v>13</v>
      </c>
      <c r="L4">
        <v>12</v>
      </c>
      <c r="M4">
        <v>31</v>
      </c>
      <c r="N4" s="1">
        <v>0.746</v>
      </c>
      <c r="O4" s="1">
        <v>0.178</v>
      </c>
      <c r="P4">
        <v>26961</v>
      </c>
      <c r="Q4">
        <v>360</v>
      </c>
      <c r="R4">
        <v>17</v>
      </c>
      <c r="S4">
        <v>555</v>
      </c>
      <c r="T4">
        <v>667</v>
      </c>
      <c r="U4">
        <v>0</v>
      </c>
      <c r="V4">
        <v>0</v>
      </c>
      <c r="W4">
        <v>1</v>
      </c>
      <c r="X4">
        <v>45630</v>
      </c>
      <c r="Y4">
        <v>2065</v>
      </c>
      <c r="Z4">
        <v>176780</v>
      </c>
      <c r="AA4" s="1">
        <v>0.624</v>
      </c>
      <c r="AB4">
        <v>3260</v>
      </c>
      <c r="AC4" s="3">
        <v>0.323611111111111</v>
      </c>
      <c r="AD4">
        <v>6</v>
      </c>
      <c r="AE4">
        <v>4124</v>
      </c>
      <c r="AF4">
        <v>7</v>
      </c>
      <c r="AG4">
        <v>0</v>
      </c>
      <c r="AH4">
        <v>1</v>
      </c>
      <c r="AI4">
        <v>0</v>
      </c>
    </row>
    <row r="5" spans="1:35">
      <c r="A5">
        <v>260507</v>
      </c>
      <c r="B5">
        <v>2</v>
      </c>
      <c r="C5" t="s">
        <v>83</v>
      </c>
      <c r="D5" t="s">
        <v>77</v>
      </c>
      <c r="E5">
        <v>59</v>
      </c>
      <c r="F5" t="s">
        <v>22</v>
      </c>
      <c r="G5">
        <f>VLOOKUP(F5,选手工资!A3:B30,2,FALSE)</f>
        <v>4.5</v>
      </c>
      <c r="H5" t="s">
        <v>130</v>
      </c>
      <c r="I5">
        <v>4</v>
      </c>
      <c r="J5">
        <v>25</v>
      </c>
      <c r="K5">
        <v>5</v>
      </c>
      <c r="L5">
        <v>13</v>
      </c>
      <c r="M5">
        <v>36</v>
      </c>
      <c r="N5" s="1">
        <v>0.695</v>
      </c>
      <c r="O5" s="1">
        <v>0.076</v>
      </c>
      <c r="P5">
        <v>16245</v>
      </c>
      <c r="Q5">
        <v>123</v>
      </c>
      <c r="R5">
        <v>2</v>
      </c>
      <c r="S5">
        <v>349</v>
      </c>
      <c r="T5">
        <v>586</v>
      </c>
      <c r="U5">
        <v>2</v>
      </c>
      <c r="V5">
        <v>10</v>
      </c>
      <c r="W5">
        <v>2</v>
      </c>
      <c r="X5">
        <v>19423</v>
      </c>
      <c r="Y5">
        <v>740</v>
      </c>
      <c r="Z5">
        <v>75781</v>
      </c>
      <c r="AA5" s="1">
        <v>0.505</v>
      </c>
      <c r="AB5">
        <v>2422</v>
      </c>
      <c r="AC5" s="3">
        <v>0.389583333333333</v>
      </c>
      <c r="AD5">
        <v>9</v>
      </c>
      <c r="AE5">
        <v>2613</v>
      </c>
      <c r="AF5">
        <v>5</v>
      </c>
      <c r="AG5">
        <v>930</v>
      </c>
      <c r="AH5">
        <v>1</v>
      </c>
      <c r="AI5">
        <v>9</v>
      </c>
    </row>
    <row r="6" spans="1:35">
      <c r="A6">
        <v>260507</v>
      </c>
      <c r="B6">
        <v>2</v>
      </c>
      <c r="C6" t="s">
        <v>83</v>
      </c>
      <c r="D6" t="s">
        <v>77</v>
      </c>
      <c r="E6">
        <v>59</v>
      </c>
      <c r="F6" t="s">
        <v>24</v>
      </c>
      <c r="G6">
        <f>VLOOKUP(F6,选手工资!A4:B31,2,FALSE)</f>
        <v>3</v>
      </c>
      <c r="H6" t="s">
        <v>131</v>
      </c>
      <c r="I6">
        <v>5</v>
      </c>
      <c r="J6">
        <v>26</v>
      </c>
      <c r="K6">
        <v>4</v>
      </c>
      <c r="L6">
        <v>12</v>
      </c>
      <c r="M6">
        <v>40</v>
      </c>
      <c r="N6" s="1">
        <v>0.746</v>
      </c>
      <c r="O6" s="1">
        <v>0.054</v>
      </c>
      <c r="P6">
        <v>15084</v>
      </c>
      <c r="Q6">
        <v>27</v>
      </c>
      <c r="R6">
        <v>0</v>
      </c>
      <c r="S6">
        <v>339</v>
      </c>
      <c r="T6">
        <v>664</v>
      </c>
      <c r="U6">
        <v>0</v>
      </c>
      <c r="V6">
        <v>14401</v>
      </c>
      <c r="W6">
        <v>1</v>
      </c>
      <c r="X6">
        <v>13950</v>
      </c>
      <c r="Y6">
        <v>117</v>
      </c>
      <c r="Z6">
        <v>57619</v>
      </c>
      <c r="AA6" s="1">
        <v>0.34</v>
      </c>
      <c r="AB6">
        <v>1212</v>
      </c>
      <c r="AC6" s="3">
        <v>0.376388888888889</v>
      </c>
      <c r="AD6">
        <v>2</v>
      </c>
      <c r="AE6">
        <v>1848</v>
      </c>
      <c r="AF6">
        <v>5</v>
      </c>
      <c r="AG6">
        <v>2400</v>
      </c>
      <c r="AH6">
        <v>2</v>
      </c>
      <c r="AI6">
        <v>10</v>
      </c>
    </row>
    <row r="7" spans="1:35">
      <c r="A7">
        <v>260507</v>
      </c>
      <c r="B7">
        <v>2</v>
      </c>
      <c r="C7" t="s">
        <v>76</v>
      </c>
      <c r="D7" t="s">
        <v>84</v>
      </c>
      <c r="E7">
        <v>49</v>
      </c>
      <c r="F7" t="s">
        <v>30</v>
      </c>
      <c r="G7">
        <v>8</v>
      </c>
      <c r="H7" t="s">
        <v>117</v>
      </c>
      <c r="I7">
        <v>2</v>
      </c>
      <c r="J7">
        <v>28</v>
      </c>
      <c r="K7">
        <v>13</v>
      </c>
      <c r="L7">
        <v>10</v>
      </c>
      <c r="M7">
        <v>28</v>
      </c>
      <c r="N7" s="1">
        <v>0.837</v>
      </c>
      <c r="O7" s="1">
        <v>0.406</v>
      </c>
      <c r="P7">
        <v>34602</v>
      </c>
      <c r="Q7">
        <v>512</v>
      </c>
      <c r="R7">
        <v>12</v>
      </c>
      <c r="S7">
        <v>645</v>
      </c>
      <c r="T7">
        <v>932</v>
      </c>
      <c r="U7">
        <v>5</v>
      </c>
      <c r="V7">
        <v>45</v>
      </c>
      <c r="W7">
        <v>0</v>
      </c>
      <c r="X7">
        <v>100901</v>
      </c>
      <c r="Y7">
        <v>4166</v>
      </c>
      <c r="Z7">
        <v>159862</v>
      </c>
      <c r="AA7" s="1">
        <v>0.554</v>
      </c>
      <c r="AB7">
        <v>3257</v>
      </c>
      <c r="AC7" s="3">
        <v>0.288194444444444</v>
      </c>
      <c r="AD7">
        <v>7</v>
      </c>
      <c r="AE7">
        <v>4344</v>
      </c>
      <c r="AF7">
        <v>8</v>
      </c>
      <c r="AG7">
        <v>130</v>
      </c>
      <c r="AH7">
        <v>0</v>
      </c>
      <c r="AI7">
        <v>0</v>
      </c>
    </row>
    <row r="8" spans="1:35">
      <c r="A8">
        <v>260507</v>
      </c>
      <c r="B8">
        <v>2</v>
      </c>
      <c r="C8" t="s">
        <v>76</v>
      </c>
      <c r="D8" t="s">
        <v>84</v>
      </c>
      <c r="E8">
        <v>49</v>
      </c>
      <c r="F8" t="s">
        <v>14</v>
      </c>
      <c r="G8">
        <v>8</v>
      </c>
      <c r="H8" t="s">
        <v>132</v>
      </c>
      <c r="I8">
        <v>1</v>
      </c>
      <c r="J8">
        <v>29</v>
      </c>
      <c r="K8">
        <v>8</v>
      </c>
      <c r="L8">
        <v>7</v>
      </c>
      <c r="M8">
        <v>27</v>
      </c>
      <c r="N8" s="1">
        <v>0.714</v>
      </c>
      <c r="O8" s="1">
        <v>0.119</v>
      </c>
      <c r="P8">
        <v>32348</v>
      </c>
      <c r="Q8">
        <v>626</v>
      </c>
      <c r="R8">
        <v>6</v>
      </c>
      <c r="S8">
        <v>859</v>
      </c>
      <c r="T8">
        <v>1025</v>
      </c>
      <c r="U8">
        <v>9</v>
      </c>
      <c r="V8">
        <v>0</v>
      </c>
      <c r="W8">
        <v>0</v>
      </c>
      <c r="X8">
        <v>29653</v>
      </c>
      <c r="Y8">
        <v>9598</v>
      </c>
      <c r="Z8">
        <v>107338</v>
      </c>
      <c r="AA8" s="1">
        <v>0.546</v>
      </c>
      <c r="AB8">
        <v>2301</v>
      </c>
      <c r="AC8" s="3">
        <v>0.214583333333333</v>
      </c>
      <c r="AD8">
        <v>12</v>
      </c>
      <c r="AE8">
        <v>5094</v>
      </c>
      <c r="AF8">
        <v>7</v>
      </c>
      <c r="AG8">
        <v>50</v>
      </c>
      <c r="AH8">
        <v>6</v>
      </c>
      <c r="AI8">
        <v>1</v>
      </c>
    </row>
    <row r="9" spans="1:35">
      <c r="A9">
        <v>260507</v>
      </c>
      <c r="B9">
        <v>2</v>
      </c>
      <c r="C9" t="s">
        <v>76</v>
      </c>
      <c r="D9" t="s">
        <v>84</v>
      </c>
      <c r="E9">
        <v>49</v>
      </c>
      <c r="F9" t="s">
        <v>17</v>
      </c>
      <c r="G9">
        <f>VLOOKUP(F9,选手工资!A6:B33,2,FALSE)</f>
        <v>6</v>
      </c>
      <c r="H9" t="s">
        <v>80</v>
      </c>
      <c r="I9">
        <v>4</v>
      </c>
      <c r="J9">
        <v>28</v>
      </c>
      <c r="K9">
        <v>16</v>
      </c>
      <c r="L9">
        <v>12</v>
      </c>
      <c r="M9">
        <v>21</v>
      </c>
      <c r="N9" s="1">
        <v>0.755</v>
      </c>
      <c r="O9" s="1">
        <v>0.177</v>
      </c>
      <c r="P9">
        <v>31955</v>
      </c>
      <c r="Q9">
        <v>373</v>
      </c>
      <c r="R9">
        <v>6</v>
      </c>
      <c r="S9">
        <v>576</v>
      </c>
      <c r="T9">
        <v>858</v>
      </c>
      <c r="U9">
        <v>0</v>
      </c>
      <c r="V9">
        <v>11899</v>
      </c>
      <c r="W9">
        <v>0</v>
      </c>
      <c r="X9">
        <v>44071</v>
      </c>
      <c r="Y9">
        <v>3502</v>
      </c>
      <c r="Z9">
        <v>173618</v>
      </c>
      <c r="AA9" s="1">
        <v>0.613</v>
      </c>
      <c r="AB9">
        <v>3553</v>
      </c>
      <c r="AC9" s="3">
        <v>0.293055555555556</v>
      </c>
      <c r="AD9">
        <v>11</v>
      </c>
      <c r="AE9">
        <v>3799</v>
      </c>
      <c r="AF9">
        <v>7</v>
      </c>
      <c r="AG9">
        <v>0</v>
      </c>
      <c r="AH9">
        <v>0</v>
      </c>
      <c r="AI9">
        <v>0</v>
      </c>
    </row>
    <row r="10" spans="1:35">
      <c r="A10">
        <v>260507</v>
      </c>
      <c r="B10">
        <v>2</v>
      </c>
      <c r="C10" t="s">
        <v>76</v>
      </c>
      <c r="D10" t="s">
        <v>84</v>
      </c>
      <c r="E10">
        <v>49</v>
      </c>
      <c r="F10" t="s">
        <v>28</v>
      </c>
      <c r="G10">
        <f>VLOOKUP(F10,选手工资!A8:B35,2,FALSE)</f>
        <v>6</v>
      </c>
      <c r="H10" t="s">
        <v>126</v>
      </c>
      <c r="I10">
        <v>4</v>
      </c>
      <c r="J10">
        <v>25</v>
      </c>
      <c r="K10">
        <v>4</v>
      </c>
      <c r="L10">
        <v>13</v>
      </c>
      <c r="M10">
        <v>34</v>
      </c>
      <c r="N10" s="1">
        <v>0.776</v>
      </c>
      <c r="O10" s="1">
        <v>0.061</v>
      </c>
      <c r="P10">
        <v>16898</v>
      </c>
      <c r="Q10">
        <v>100</v>
      </c>
      <c r="R10">
        <v>4</v>
      </c>
      <c r="S10">
        <v>341</v>
      </c>
      <c r="T10">
        <v>603</v>
      </c>
      <c r="U10">
        <v>2</v>
      </c>
      <c r="V10">
        <v>1671</v>
      </c>
      <c r="W10">
        <v>5</v>
      </c>
      <c r="X10">
        <v>15206</v>
      </c>
      <c r="Y10">
        <v>720</v>
      </c>
      <c r="Z10">
        <v>88678</v>
      </c>
      <c r="AA10" s="1">
        <v>0.5</v>
      </c>
      <c r="AB10">
        <v>1710</v>
      </c>
      <c r="AC10" s="3">
        <v>0.292361111111111</v>
      </c>
      <c r="AD10">
        <v>4</v>
      </c>
      <c r="AE10">
        <v>2224</v>
      </c>
      <c r="AF10">
        <v>5</v>
      </c>
      <c r="AG10">
        <v>2130</v>
      </c>
      <c r="AH10">
        <v>0</v>
      </c>
      <c r="AI10">
        <v>14</v>
      </c>
    </row>
    <row r="11" spans="1:35">
      <c r="A11">
        <v>260507</v>
      </c>
      <c r="B11">
        <v>2</v>
      </c>
      <c r="C11" t="s">
        <v>76</v>
      </c>
      <c r="D11" t="s">
        <v>84</v>
      </c>
      <c r="E11">
        <v>49</v>
      </c>
      <c r="F11" t="s">
        <v>36</v>
      </c>
      <c r="G11">
        <f>VLOOKUP(F11,选手工资!A10:B37,2,FALSE)</f>
        <v>4.5</v>
      </c>
      <c r="H11" t="s">
        <v>133</v>
      </c>
      <c r="I11">
        <v>5</v>
      </c>
      <c r="J11">
        <v>23</v>
      </c>
      <c r="K11">
        <v>7</v>
      </c>
      <c r="L11">
        <v>17</v>
      </c>
      <c r="M11">
        <v>30</v>
      </c>
      <c r="N11" s="1">
        <v>0.755</v>
      </c>
      <c r="O11" s="1">
        <v>0.236</v>
      </c>
      <c r="P11">
        <v>16744</v>
      </c>
      <c r="Q11">
        <v>127</v>
      </c>
      <c r="R11">
        <v>2</v>
      </c>
      <c r="S11">
        <v>360</v>
      </c>
      <c r="T11">
        <v>500</v>
      </c>
      <c r="U11">
        <v>1</v>
      </c>
      <c r="V11">
        <v>5406</v>
      </c>
      <c r="W11">
        <v>0</v>
      </c>
      <c r="X11">
        <v>58651</v>
      </c>
      <c r="Y11">
        <v>1033</v>
      </c>
      <c r="Z11">
        <v>47431</v>
      </c>
      <c r="AA11" s="1">
        <v>0.475</v>
      </c>
      <c r="AB11">
        <v>2405</v>
      </c>
      <c r="AC11" s="3">
        <v>0.404861111111111</v>
      </c>
      <c r="AD11">
        <v>8</v>
      </c>
      <c r="AE11">
        <v>2193</v>
      </c>
      <c r="AF11">
        <v>5</v>
      </c>
      <c r="AG11">
        <v>1030</v>
      </c>
      <c r="AH11">
        <v>8</v>
      </c>
      <c r="AI11">
        <v>12</v>
      </c>
    </row>
    <row r="14" spans="1:35">
      <c r="A14" t="s">
        <v>90</v>
      </c>
      <c r="B14" s="4">
        <v>8801336033</v>
      </c>
      <c r="C14" s="4"/>
    </row>
    <row r="15" spans="1:35">
      <c r="A15" t="s">
        <v>91</v>
      </c>
      <c r="B15" s="7" t="s">
        <v>134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1" topLeftCell="I1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31" max="32" width="12.5" customWidth="1"/>
    <col min="33" max="33" width="15.125" customWidth="1"/>
    <col min="34" max="35" width="8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260507</v>
      </c>
      <c r="B2">
        <v>3</v>
      </c>
      <c r="C2" t="s">
        <v>83</v>
      </c>
      <c r="D2" t="s">
        <v>84</v>
      </c>
      <c r="E2">
        <v>12</v>
      </c>
      <c r="F2" t="s">
        <v>19</v>
      </c>
      <c r="G2">
        <f>VLOOKUP(F2,选手工资!A2:B29,2,FALSE)</f>
        <v>10</v>
      </c>
      <c r="H2" t="s">
        <v>135</v>
      </c>
      <c r="I2">
        <v>3</v>
      </c>
      <c r="J2">
        <v>15</v>
      </c>
      <c r="K2">
        <v>2</v>
      </c>
      <c r="L2">
        <v>7</v>
      </c>
      <c r="M2">
        <v>8</v>
      </c>
      <c r="N2" s="1">
        <v>0.833</v>
      </c>
      <c r="O2" s="1">
        <v>0.252</v>
      </c>
      <c r="P2">
        <v>14792</v>
      </c>
      <c r="Q2">
        <v>190</v>
      </c>
      <c r="R2">
        <v>5</v>
      </c>
      <c r="S2">
        <v>422</v>
      </c>
      <c r="T2">
        <v>422</v>
      </c>
      <c r="U2">
        <v>1</v>
      </c>
      <c r="V2">
        <v>2757</v>
      </c>
      <c r="W2">
        <v>0</v>
      </c>
      <c r="X2">
        <v>23499</v>
      </c>
      <c r="Y2">
        <v>0</v>
      </c>
      <c r="Z2">
        <v>53088</v>
      </c>
      <c r="AA2" s="1">
        <v>0.478</v>
      </c>
      <c r="AB2">
        <v>1903</v>
      </c>
      <c r="AC2" s="3">
        <v>0.224305555555556</v>
      </c>
      <c r="AD2">
        <v>9</v>
      </c>
      <c r="AE2">
        <v>4138</v>
      </c>
      <c r="AF2">
        <v>7</v>
      </c>
      <c r="AG2">
        <v>0</v>
      </c>
      <c r="AH2">
        <v>6</v>
      </c>
      <c r="AI2">
        <v>0</v>
      </c>
    </row>
    <row r="3" spans="1:35">
      <c r="A3">
        <v>260507</v>
      </c>
      <c r="B3">
        <v>3</v>
      </c>
      <c r="C3" t="s">
        <v>83</v>
      </c>
      <c r="D3" t="s">
        <v>84</v>
      </c>
      <c r="E3">
        <v>12</v>
      </c>
      <c r="F3" t="s">
        <v>30</v>
      </c>
      <c r="G3">
        <f>VLOOKUP(F3,选手工资!A1:B28,2,FALSE)</f>
        <v>8</v>
      </c>
      <c r="H3" t="s">
        <v>103</v>
      </c>
      <c r="I3">
        <v>2</v>
      </c>
      <c r="J3">
        <v>20</v>
      </c>
      <c r="K3">
        <v>6</v>
      </c>
      <c r="L3">
        <v>9</v>
      </c>
      <c r="M3">
        <v>3</v>
      </c>
      <c r="N3" s="1">
        <v>0.75</v>
      </c>
      <c r="O3" s="1">
        <v>0.425</v>
      </c>
      <c r="P3">
        <v>10768</v>
      </c>
      <c r="Q3">
        <v>155</v>
      </c>
      <c r="R3">
        <v>8</v>
      </c>
      <c r="S3">
        <v>412</v>
      </c>
      <c r="T3">
        <v>663</v>
      </c>
      <c r="U3">
        <v>1</v>
      </c>
      <c r="V3">
        <v>0</v>
      </c>
      <c r="W3">
        <v>0</v>
      </c>
      <c r="X3">
        <v>39569</v>
      </c>
      <c r="Y3">
        <v>0</v>
      </c>
      <c r="Z3">
        <v>67956</v>
      </c>
      <c r="AA3" s="1">
        <v>0.559</v>
      </c>
      <c r="AB3">
        <v>1335</v>
      </c>
      <c r="AC3" s="3">
        <v>0.253472222222222</v>
      </c>
      <c r="AD3">
        <v>5</v>
      </c>
      <c r="AE3">
        <v>3292</v>
      </c>
      <c r="AF3">
        <v>8</v>
      </c>
      <c r="AG3">
        <v>100</v>
      </c>
      <c r="AH3">
        <v>0</v>
      </c>
      <c r="AI3">
        <v>1</v>
      </c>
    </row>
    <row r="4" spans="1:35">
      <c r="A4">
        <v>260507</v>
      </c>
      <c r="B4">
        <v>3</v>
      </c>
      <c r="C4" t="s">
        <v>83</v>
      </c>
      <c r="D4" t="s">
        <v>84</v>
      </c>
      <c r="E4">
        <v>12</v>
      </c>
      <c r="F4" t="s">
        <v>17</v>
      </c>
      <c r="G4">
        <f>VLOOKUP(F4,选手工资!A3:B30,2,FALSE)</f>
        <v>6</v>
      </c>
      <c r="H4" t="s">
        <v>132</v>
      </c>
      <c r="I4">
        <v>1</v>
      </c>
      <c r="J4">
        <v>18</v>
      </c>
      <c r="K4">
        <v>2</v>
      </c>
      <c r="L4">
        <v>6</v>
      </c>
      <c r="M4">
        <v>3</v>
      </c>
      <c r="N4" s="1">
        <v>0.417</v>
      </c>
      <c r="O4" s="1">
        <v>0.144</v>
      </c>
      <c r="P4">
        <v>11066</v>
      </c>
      <c r="Q4">
        <v>185</v>
      </c>
      <c r="R4">
        <v>5</v>
      </c>
      <c r="S4">
        <v>475</v>
      </c>
      <c r="T4">
        <v>543</v>
      </c>
      <c r="U4">
        <v>0</v>
      </c>
      <c r="V4">
        <v>0</v>
      </c>
      <c r="W4">
        <v>0</v>
      </c>
      <c r="X4">
        <v>13397</v>
      </c>
      <c r="Y4">
        <v>0</v>
      </c>
      <c r="Z4">
        <v>28450</v>
      </c>
      <c r="AA4" s="1">
        <v>0.342</v>
      </c>
      <c r="AB4">
        <v>466</v>
      </c>
      <c r="AC4" s="3">
        <v>0.126388888888889</v>
      </c>
      <c r="AD4">
        <v>12</v>
      </c>
      <c r="AE4">
        <v>3203</v>
      </c>
      <c r="AF4">
        <v>5</v>
      </c>
      <c r="AG4">
        <v>50</v>
      </c>
      <c r="AH4">
        <v>5</v>
      </c>
      <c r="AI4">
        <v>0</v>
      </c>
    </row>
    <row r="5" spans="1:35">
      <c r="A5">
        <v>260507</v>
      </c>
      <c r="B5">
        <v>3</v>
      </c>
      <c r="C5" t="s">
        <v>83</v>
      </c>
      <c r="D5" t="s">
        <v>84</v>
      </c>
      <c r="E5">
        <v>12</v>
      </c>
      <c r="F5" t="s">
        <v>36</v>
      </c>
      <c r="G5">
        <f>VLOOKUP(F5,选手工资!A4:B31,2,FALSE)</f>
        <v>4.5</v>
      </c>
      <c r="H5" t="s">
        <v>126</v>
      </c>
      <c r="I5">
        <v>4</v>
      </c>
      <c r="J5">
        <v>11</v>
      </c>
      <c r="K5">
        <v>0</v>
      </c>
      <c r="L5">
        <v>10</v>
      </c>
      <c r="M5">
        <v>8</v>
      </c>
      <c r="N5" s="1">
        <v>0.667</v>
      </c>
      <c r="O5" s="1">
        <v>0.107</v>
      </c>
      <c r="P5">
        <v>5200</v>
      </c>
      <c r="Q5">
        <v>41</v>
      </c>
      <c r="R5">
        <v>1</v>
      </c>
      <c r="S5">
        <v>200</v>
      </c>
      <c r="T5">
        <v>215</v>
      </c>
      <c r="U5">
        <v>5</v>
      </c>
      <c r="V5">
        <v>0</v>
      </c>
      <c r="W5">
        <v>0</v>
      </c>
      <c r="X5">
        <v>9932</v>
      </c>
      <c r="Y5">
        <v>0</v>
      </c>
      <c r="Z5">
        <v>29636</v>
      </c>
      <c r="AA5" s="1">
        <v>0.395</v>
      </c>
      <c r="AB5">
        <v>811</v>
      </c>
      <c r="AC5" s="3">
        <v>0.202777777777778</v>
      </c>
      <c r="AD5">
        <v>1</v>
      </c>
      <c r="AE5">
        <v>1838</v>
      </c>
      <c r="AF5">
        <v>4</v>
      </c>
      <c r="AG5">
        <v>200</v>
      </c>
      <c r="AH5">
        <v>1</v>
      </c>
      <c r="AI5">
        <v>2</v>
      </c>
    </row>
    <row r="6" spans="1:35">
      <c r="A6">
        <v>260507</v>
      </c>
      <c r="B6">
        <v>3</v>
      </c>
      <c r="C6" t="s">
        <v>83</v>
      </c>
      <c r="D6" t="s">
        <v>84</v>
      </c>
      <c r="E6">
        <v>12</v>
      </c>
      <c r="F6" t="s">
        <v>41</v>
      </c>
      <c r="G6">
        <f>VLOOKUP(F6,选手工资!A5:B32,2,FALSE)</f>
        <v>2</v>
      </c>
      <c r="H6" t="s">
        <v>121</v>
      </c>
      <c r="I6">
        <v>5</v>
      </c>
      <c r="J6">
        <v>12</v>
      </c>
      <c r="K6">
        <v>0</v>
      </c>
      <c r="L6">
        <v>13</v>
      </c>
      <c r="M6">
        <v>7</v>
      </c>
      <c r="N6" s="1">
        <v>0.583</v>
      </c>
      <c r="O6" s="1">
        <v>0.072</v>
      </c>
      <c r="P6">
        <v>5275</v>
      </c>
      <c r="Q6">
        <v>24</v>
      </c>
      <c r="R6">
        <v>1</v>
      </c>
      <c r="S6">
        <v>221</v>
      </c>
      <c r="T6">
        <v>290</v>
      </c>
      <c r="U6">
        <v>0</v>
      </c>
      <c r="V6">
        <v>0</v>
      </c>
      <c r="W6">
        <v>0</v>
      </c>
      <c r="X6">
        <v>6743</v>
      </c>
      <c r="Y6">
        <v>0</v>
      </c>
      <c r="Z6">
        <v>33480</v>
      </c>
      <c r="AA6" s="1">
        <v>0.35</v>
      </c>
      <c r="AB6">
        <v>729</v>
      </c>
      <c r="AC6" s="3">
        <v>0.250694444444444</v>
      </c>
      <c r="AD6">
        <v>11</v>
      </c>
      <c r="AE6">
        <v>1422</v>
      </c>
      <c r="AF6">
        <v>4</v>
      </c>
      <c r="AG6">
        <v>550</v>
      </c>
      <c r="AH6">
        <v>3</v>
      </c>
      <c r="AI6">
        <v>7</v>
      </c>
    </row>
    <row r="7" spans="1:35">
      <c r="A7">
        <v>260507</v>
      </c>
      <c r="B7">
        <v>3</v>
      </c>
      <c r="C7" t="s">
        <v>76</v>
      </c>
      <c r="D7" t="s">
        <v>77</v>
      </c>
      <c r="E7">
        <v>45</v>
      </c>
      <c r="F7" t="s">
        <v>14</v>
      </c>
      <c r="G7">
        <v>8</v>
      </c>
      <c r="H7" t="s">
        <v>80</v>
      </c>
      <c r="I7">
        <v>3</v>
      </c>
      <c r="J7">
        <v>22</v>
      </c>
      <c r="K7">
        <v>13</v>
      </c>
      <c r="L7">
        <v>2</v>
      </c>
      <c r="M7">
        <v>24</v>
      </c>
      <c r="N7" s="1">
        <v>0.822</v>
      </c>
      <c r="O7" s="1">
        <v>0.375</v>
      </c>
      <c r="P7">
        <v>19908</v>
      </c>
      <c r="Q7">
        <v>250</v>
      </c>
      <c r="R7">
        <v>17</v>
      </c>
      <c r="S7">
        <v>677</v>
      </c>
      <c r="T7">
        <v>829</v>
      </c>
      <c r="U7">
        <v>2</v>
      </c>
      <c r="V7">
        <v>6184</v>
      </c>
      <c r="W7">
        <v>0</v>
      </c>
      <c r="X7">
        <v>43568</v>
      </c>
      <c r="Y7">
        <v>5336</v>
      </c>
      <c r="Z7">
        <v>44993</v>
      </c>
      <c r="AA7" s="1">
        <v>0.466</v>
      </c>
      <c r="AB7">
        <v>632</v>
      </c>
      <c r="AC7" s="3">
        <v>0.0326388888888889</v>
      </c>
      <c r="AD7">
        <v>8</v>
      </c>
      <c r="AE7">
        <v>5050</v>
      </c>
      <c r="AF7">
        <v>7</v>
      </c>
      <c r="AG7">
        <v>130</v>
      </c>
      <c r="AH7">
        <v>0</v>
      </c>
      <c r="AI7">
        <v>0</v>
      </c>
    </row>
    <row r="8" spans="1:35">
      <c r="A8">
        <v>260507</v>
      </c>
      <c r="B8">
        <v>3</v>
      </c>
      <c r="C8" t="s">
        <v>76</v>
      </c>
      <c r="D8" t="s">
        <v>77</v>
      </c>
      <c r="E8">
        <v>45</v>
      </c>
      <c r="F8" t="s">
        <v>13</v>
      </c>
      <c r="G8">
        <v>7.5</v>
      </c>
      <c r="H8" t="s">
        <v>78</v>
      </c>
      <c r="I8">
        <v>2</v>
      </c>
      <c r="J8">
        <v>21</v>
      </c>
      <c r="K8">
        <v>13</v>
      </c>
      <c r="L8">
        <v>3</v>
      </c>
      <c r="M8">
        <v>14</v>
      </c>
      <c r="N8" s="1">
        <v>0.6</v>
      </c>
      <c r="O8" s="1">
        <v>0.304</v>
      </c>
      <c r="P8">
        <v>18402</v>
      </c>
      <c r="Q8">
        <v>231</v>
      </c>
      <c r="R8">
        <v>11</v>
      </c>
      <c r="S8">
        <v>648</v>
      </c>
      <c r="T8">
        <v>741</v>
      </c>
      <c r="U8">
        <v>3</v>
      </c>
      <c r="V8">
        <v>0</v>
      </c>
      <c r="W8">
        <v>0</v>
      </c>
      <c r="X8">
        <v>35284</v>
      </c>
      <c r="Y8">
        <v>11036</v>
      </c>
      <c r="Z8">
        <v>31350</v>
      </c>
      <c r="AA8" s="1">
        <v>0.397</v>
      </c>
      <c r="AB8">
        <v>994</v>
      </c>
      <c r="AC8" s="3">
        <v>0.0756944444444444</v>
      </c>
      <c r="AD8">
        <v>4</v>
      </c>
      <c r="AE8">
        <v>4178</v>
      </c>
      <c r="AF8">
        <v>8</v>
      </c>
      <c r="AG8">
        <v>50</v>
      </c>
      <c r="AH8">
        <v>1</v>
      </c>
      <c r="AI8">
        <v>4</v>
      </c>
    </row>
    <row r="9" spans="1:35">
      <c r="A9">
        <v>260507</v>
      </c>
      <c r="B9">
        <v>3</v>
      </c>
      <c r="C9" t="s">
        <v>76</v>
      </c>
      <c r="D9" t="s">
        <v>77</v>
      </c>
      <c r="E9">
        <v>45</v>
      </c>
      <c r="F9" t="s">
        <v>18</v>
      </c>
      <c r="G9" t="e">
        <f>VLOOKUP(F9,选手工资!A9:B36,2,FALSE)</f>
        <v>#N/A</v>
      </c>
      <c r="H9" t="s">
        <v>136</v>
      </c>
      <c r="I9">
        <v>1</v>
      </c>
      <c r="J9">
        <v>19</v>
      </c>
      <c r="K9">
        <v>3</v>
      </c>
      <c r="L9">
        <v>4</v>
      </c>
      <c r="M9">
        <v>8</v>
      </c>
      <c r="N9" s="1">
        <v>0.244</v>
      </c>
      <c r="O9" s="1">
        <v>0.102</v>
      </c>
      <c r="P9">
        <v>16855</v>
      </c>
      <c r="Q9">
        <v>217</v>
      </c>
      <c r="R9">
        <v>23</v>
      </c>
      <c r="S9">
        <v>526</v>
      </c>
      <c r="T9">
        <v>596</v>
      </c>
      <c r="U9">
        <v>0</v>
      </c>
      <c r="V9">
        <v>0</v>
      </c>
      <c r="W9">
        <v>0</v>
      </c>
      <c r="X9">
        <v>11863</v>
      </c>
      <c r="Y9">
        <v>7328</v>
      </c>
      <c r="Z9">
        <v>33263</v>
      </c>
      <c r="AA9" s="1">
        <v>0.444</v>
      </c>
      <c r="AB9">
        <v>708</v>
      </c>
      <c r="AC9" s="3">
        <v>0.101388888888889</v>
      </c>
      <c r="AD9">
        <v>10</v>
      </c>
      <c r="AE9">
        <v>3843</v>
      </c>
      <c r="AF9">
        <v>6</v>
      </c>
      <c r="AG9">
        <v>0</v>
      </c>
      <c r="AH9">
        <v>1</v>
      </c>
      <c r="AI9">
        <v>0</v>
      </c>
    </row>
    <row r="10" spans="1:35">
      <c r="A10">
        <v>260507</v>
      </c>
      <c r="B10">
        <v>3</v>
      </c>
      <c r="C10" t="s">
        <v>76</v>
      </c>
      <c r="D10" t="s">
        <v>77</v>
      </c>
      <c r="E10">
        <v>45</v>
      </c>
      <c r="F10" t="s">
        <v>28</v>
      </c>
      <c r="G10">
        <f>VLOOKUP(F10,选手工资!A6:B33,2,FALSE)</f>
        <v>6</v>
      </c>
      <c r="H10" t="s">
        <v>112</v>
      </c>
      <c r="I10">
        <v>4</v>
      </c>
      <c r="J10">
        <v>17</v>
      </c>
      <c r="K10">
        <v>15</v>
      </c>
      <c r="L10">
        <v>0</v>
      </c>
      <c r="M10">
        <v>16</v>
      </c>
      <c r="N10" s="1">
        <v>0.689</v>
      </c>
      <c r="O10" s="1">
        <v>0.144</v>
      </c>
      <c r="P10">
        <v>13060</v>
      </c>
      <c r="Q10">
        <v>29</v>
      </c>
      <c r="R10">
        <v>8</v>
      </c>
      <c r="S10">
        <v>425</v>
      </c>
      <c r="T10">
        <v>519</v>
      </c>
      <c r="U10">
        <v>2</v>
      </c>
      <c r="V10">
        <v>1638</v>
      </c>
      <c r="W10">
        <v>0</v>
      </c>
      <c r="X10">
        <v>16703</v>
      </c>
      <c r="Y10">
        <v>2543</v>
      </c>
      <c r="Z10">
        <v>21057</v>
      </c>
      <c r="AA10" s="1">
        <v>0.332</v>
      </c>
      <c r="AB10">
        <v>0</v>
      </c>
      <c r="AC10" s="3">
        <v>0</v>
      </c>
      <c r="AD10">
        <v>7</v>
      </c>
      <c r="AE10">
        <v>3313</v>
      </c>
      <c r="AF10">
        <v>7</v>
      </c>
      <c r="AG10">
        <v>650</v>
      </c>
      <c r="AH10">
        <v>2</v>
      </c>
      <c r="AI10">
        <v>4</v>
      </c>
    </row>
    <row r="11" spans="1:35">
      <c r="A11">
        <v>260507</v>
      </c>
      <c r="B11">
        <v>3</v>
      </c>
      <c r="C11" t="s">
        <v>76</v>
      </c>
      <c r="D11" t="s">
        <v>77</v>
      </c>
      <c r="E11">
        <v>45</v>
      </c>
      <c r="F11" t="s">
        <v>33</v>
      </c>
      <c r="G11">
        <f>VLOOKUP(F11,选手工资!A8:B35,2,FALSE)</f>
        <v>4</v>
      </c>
      <c r="H11" t="s">
        <v>137</v>
      </c>
      <c r="I11">
        <v>5</v>
      </c>
      <c r="J11">
        <v>17</v>
      </c>
      <c r="K11">
        <v>1</v>
      </c>
      <c r="L11">
        <v>3</v>
      </c>
      <c r="M11">
        <v>29</v>
      </c>
      <c r="N11" s="1">
        <v>0.667</v>
      </c>
      <c r="O11" s="1">
        <v>0.075</v>
      </c>
      <c r="P11">
        <v>10394</v>
      </c>
      <c r="Q11">
        <v>41</v>
      </c>
      <c r="R11">
        <v>1</v>
      </c>
      <c r="S11">
        <v>299</v>
      </c>
      <c r="T11">
        <v>489</v>
      </c>
      <c r="U11">
        <v>2</v>
      </c>
      <c r="V11">
        <v>8798</v>
      </c>
      <c r="W11">
        <v>1</v>
      </c>
      <c r="X11">
        <v>8674</v>
      </c>
      <c r="Y11">
        <v>613</v>
      </c>
      <c r="Z11">
        <v>26040</v>
      </c>
      <c r="AA11" s="1">
        <v>0.321</v>
      </c>
      <c r="AB11">
        <v>124</v>
      </c>
      <c r="AC11" s="3">
        <v>0.0215277777777778</v>
      </c>
      <c r="AD11">
        <v>3</v>
      </c>
      <c r="AE11">
        <v>1833</v>
      </c>
      <c r="AF11">
        <v>5</v>
      </c>
      <c r="AG11">
        <v>800</v>
      </c>
      <c r="AH11">
        <v>0</v>
      </c>
      <c r="AI11">
        <v>5</v>
      </c>
    </row>
    <row r="14" spans="1:35">
      <c r="A14" t="s">
        <v>90</v>
      </c>
      <c r="B14" s="4">
        <v>8801445758</v>
      </c>
      <c r="C14" s="4"/>
    </row>
    <row r="15" spans="1:35">
      <c r="A15" t="s">
        <v>91</v>
      </c>
      <c r="B15" s="7" t="s">
        <v>138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topLeftCell="B1" workbookViewId="0">
      <pane xSplit="7" ySplit="1" topLeftCell="V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7" max="7" width="12.875"/>
    <col min="31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260508</v>
      </c>
      <c r="B2">
        <v>1</v>
      </c>
      <c r="C2" t="s">
        <v>83</v>
      </c>
      <c r="D2" t="s">
        <v>77</v>
      </c>
      <c r="E2">
        <v>44</v>
      </c>
      <c r="F2" t="s">
        <v>19</v>
      </c>
      <c r="G2">
        <v>9.5</v>
      </c>
      <c r="H2" t="s">
        <v>125</v>
      </c>
      <c r="I2">
        <v>2</v>
      </c>
      <c r="J2">
        <v>27</v>
      </c>
      <c r="K2">
        <v>23</v>
      </c>
      <c r="L2">
        <v>2</v>
      </c>
      <c r="M2">
        <v>12</v>
      </c>
      <c r="N2" s="1">
        <v>0.795</v>
      </c>
      <c r="O2" s="1">
        <v>0.39</v>
      </c>
      <c r="P2">
        <v>23509</v>
      </c>
      <c r="Q2">
        <v>261</v>
      </c>
      <c r="R2">
        <v>20</v>
      </c>
      <c r="S2">
        <v>708</v>
      </c>
      <c r="T2">
        <v>1250</v>
      </c>
      <c r="U2">
        <v>0</v>
      </c>
      <c r="V2">
        <v>0</v>
      </c>
      <c r="W2">
        <v>1</v>
      </c>
      <c r="X2">
        <v>50340</v>
      </c>
      <c r="Y2">
        <v>2195</v>
      </c>
      <c r="Z2">
        <v>57930</v>
      </c>
      <c r="AA2" s="1">
        <v>0.547</v>
      </c>
      <c r="AB2">
        <v>712</v>
      </c>
      <c r="AC2" s="3">
        <v>0.0277777777777778</v>
      </c>
      <c r="AD2">
        <v>5</v>
      </c>
      <c r="AE2">
        <v>4679</v>
      </c>
      <c r="AF2">
        <v>9</v>
      </c>
      <c r="AG2">
        <v>50</v>
      </c>
      <c r="AH2">
        <v>0</v>
      </c>
      <c r="AI2">
        <v>2</v>
      </c>
    </row>
    <row r="3" spans="1:35">
      <c r="A3">
        <v>260508</v>
      </c>
      <c r="B3">
        <v>1</v>
      </c>
      <c r="C3" t="s">
        <v>83</v>
      </c>
      <c r="D3" t="s">
        <v>77</v>
      </c>
      <c r="E3">
        <v>44</v>
      </c>
      <c r="F3" t="s">
        <v>17</v>
      </c>
      <c r="G3">
        <f>VLOOKUP(F3,选手工资!A5:C32,3,FALSE)</f>
        <v>5.5</v>
      </c>
      <c r="H3" t="s">
        <v>97</v>
      </c>
      <c r="I3">
        <v>3</v>
      </c>
      <c r="J3">
        <v>21</v>
      </c>
      <c r="K3">
        <v>4</v>
      </c>
      <c r="L3">
        <v>6</v>
      </c>
      <c r="M3">
        <v>26</v>
      </c>
      <c r="N3" s="1">
        <v>0.682</v>
      </c>
      <c r="O3" s="1">
        <v>0.202</v>
      </c>
      <c r="P3">
        <v>16553</v>
      </c>
      <c r="Q3">
        <v>235</v>
      </c>
      <c r="R3">
        <v>7</v>
      </c>
      <c r="S3">
        <v>499</v>
      </c>
      <c r="T3">
        <v>703</v>
      </c>
      <c r="U3">
        <v>2</v>
      </c>
      <c r="V3">
        <v>5265</v>
      </c>
      <c r="W3">
        <v>0</v>
      </c>
      <c r="X3">
        <v>26079</v>
      </c>
      <c r="Y3">
        <v>237</v>
      </c>
      <c r="Z3">
        <v>60311</v>
      </c>
      <c r="AA3" s="1">
        <v>0.501</v>
      </c>
      <c r="AB3">
        <v>1335</v>
      </c>
      <c r="AC3" s="3">
        <v>0.177777777777778</v>
      </c>
      <c r="AD3">
        <v>6</v>
      </c>
      <c r="AE3">
        <v>4874</v>
      </c>
      <c r="AF3">
        <v>7</v>
      </c>
      <c r="AG3">
        <v>0</v>
      </c>
      <c r="AH3">
        <v>2</v>
      </c>
      <c r="AI3">
        <v>0</v>
      </c>
    </row>
    <row r="4" spans="1:35">
      <c r="A4">
        <v>260508</v>
      </c>
      <c r="B4">
        <v>1</v>
      </c>
      <c r="C4" t="s">
        <v>83</v>
      </c>
      <c r="D4" t="s">
        <v>77</v>
      </c>
      <c r="E4">
        <v>44</v>
      </c>
      <c r="F4" t="s">
        <v>15</v>
      </c>
      <c r="G4">
        <f>VLOOKUP(F4,选手工资!A3:C30,3,FALSE)</f>
        <v>7.5</v>
      </c>
      <c r="H4" t="s">
        <v>139</v>
      </c>
      <c r="I4">
        <v>1</v>
      </c>
      <c r="J4">
        <v>24</v>
      </c>
      <c r="K4">
        <v>9</v>
      </c>
      <c r="L4">
        <v>5</v>
      </c>
      <c r="M4">
        <v>14</v>
      </c>
      <c r="N4" s="1">
        <v>0.523</v>
      </c>
      <c r="O4" s="1">
        <v>0.208</v>
      </c>
      <c r="P4">
        <v>23666</v>
      </c>
      <c r="Q4">
        <v>395</v>
      </c>
      <c r="R4">
        <v>10</v>
      </c>
      <c r="S4">
        <v>709</v>
      </c>
      <c r="T4">
        <v>946</v>
      </c>
      <c r="U4">
        <v>5</v>
      </c>
      <c r="V4">
        <v>0</v>
      </c>
      <c r="W4">
        <v>1</v>
      </c>
      <c r="X4">
        <v>26800</v>
      </c>
      <c r="Y4">
        <v>7272</v>
      </c>
      <c r="Z4">
        <v>31121</v>
      </c>
      <c r="AA4" s="1">
        <v>0.541</v>
      </c>
      <c r="AB4">
        <v>831</v>
      </c>
      <c r="AC4" s="3">
        <v>0.129861111111111</v>
      </c>
      <c r="AD4">
        <v>9</v>
      </c>
      <c r="AE4">
        <v>3685</v>
      </c>
      <c r="AF4">
        <v>7</v>
      </c>
      <c r="AG4">
        <v>50</v>
      </c>
      <c r="AH4">
        <v>2</v>
      </c>
      <c r="AI4">
        <v>0</v>
      </c>
    </row>
    <row r="5" spans="1:35">
      <c r="A5">
        <v>260508</v>
      </c>
      <c r="B5">
        <v>1</v>
      </c>
      <c r="C5" t="s">
        <v>83</v>
      </c>
      <c r="D5" t="s">
        <v>77</v>
      </c>
      <c r="E5">
        <v>44</v>
      </c>
      <c r="F5" t="s">
        <v>40</v>
      </c>
      <c r="G5">
        <f>VLOOKUP(F5,选手工资!A2:C29,3,FALSE)</f>
        <v>1</v>
      </c>
      <c r="H5" t="s">
        <v>140</v>
      </c>
      <c r="I5">
        <v>5</v>
      </c>
      <c r="J5">
        <v>19</v>
      </c>
      <c r="K5">
        <v>1</v>
      </c>
      <c r="L5">
        <v>7</v>
      </c>
      <c r="M5">
        <v>24</v>
      </c>
      <c r="N5" s="1">
        <v>0.568</v>
      </c>
      <c r="O5" s="1">
        <v>0.105</v>
      </c>
      <c r="P5">
        <v>8787</v>
      </c>
      <c r="Q5">
        <v>62</v>
      </c>
      <c r="R5">
        <v>1</v>
      </c>
      <c r="S5">
        <v>276</v>
      </c>
      <c r="T5">
        <v>586</v>
      </c>
      <c r="U5">
        <v>0</v>
      </c>
      <c r="V5">
        <v>0</v>
      </c>
      <c r="W5">
        <v>0</v>
      </c>
      <c r="X5">
        <v>13491</v>
      </c>
      <c r="Y5">
        <v>43</v>
      </c>
      <c r="Z5">
        <v>18428</v>
      </c>
      <c r="AA5" s="1">
        <v>0.475</v>
      </c>
      <c r="AB5">
        <v>495</v>
      </c>
      <c r="AC5" s="3">
        <v>0.152777777777778</v>
      </c>
      <c r="AD5">
        <v>1</v>
      </c>
      <c r="AE5">
        <v>1810</v>
      </c>
      <c r="AF5">
        <v>5</v>
      </c>
      <c r="AG5">
        <v>530</v>
      </c>
      <c r="AH5">
        <v>7</v>
      </c>
      <c r="AI5">
        <v>6</v>
      </c>
    </row>
    <row r="6" spans="1:35">
      <c r="A6">
        <v>260508</v>
      </c>
      <c r="B6">
        <v>1</v>
      </c>
      <c r="C6" t="s">
        <v>83</v>
      </c>
      <c r="D6" t="s">
        <v>77</v>
      </c>
      <c r="E6">
        <v>44</v>
      </c>
      <c r="F6" t="s">
        <v>20</v>
      </c>
      <c r="G6">
        <f>VLOOKUP(F6,选手工资!A6:C33,3,FALSE)</f>
        <v>6.5</v>
      </c>
      <c r="H6" t="s">
        <v>126</v>
      </c>
      <c r="I6">
        <v>4</v>
      </c>
      <c r="J6">
        <v>18</v>
      </c>
      <c r="K6">
        <v>6</v>
      </c>
      <c r="L6">
        <v>6</v>
      </c>
      <c r="M6">
        <v>29</v>
      </c>
      <c r="N6" s="1">
        <v>0.795</v>
      </c>
      <c r="O6" s="1">
        <v>0.096</v>
      </c>
      <c r="P6">
        <v>11154</v>
      </c>
      <c r="Q6">
        <v>86</v>
      </c>
      <c r="R6">
        <v>1</v>
      </c>
      <c r="S6">
        <v>364</v>
      </c>
      <c r="T6">
        <v>535</v>
      </c>
      <c r="U6">
        <v>3</v>
      </c>
      <c r="V6">
        <v>564</v>
      </c>
      <c r="W6">
        <v>0</v>
      </c>
      <c r="X6">
        <v>12339</v>
      </c>
      <c r="Y6">
        <v>24</v>
      </c>
      <c r="Z6">
        <v>27916</v>
      </c>
      <c r="AA6" s="1">
        <v>0.408</v>
      </c>
      <c r="AB6">
        <v>761</v>
      </c>
      <c r="AC6" s="3">
        <v>0.147916666666667</v>
      </c>
      <c r="AD6">
        <v>6</v>
      </c>
      <c r="AE6">
        <v>2238</v>
      </c>
      <c r="AF6">
        <v>4</v>
      </c>
      <c r="AG6">
        <v>880</v>
      </c>
      <c r="AH6">
        <v>1</v>
      </c>
      <c r="AI6">
        <v>8</v>
      </c>
    </row>
    <row r="7" spans="1:35">
      <c r="A7">
        <v>260508</v>
      </c>
      <c r="B7">
        <v>1</v>
      </c>
      <c r="C7" t="s">
        <v>76</v>
      </c>
      <c r="D7" t="s">
        <v>84</v>
      </c>
      <c r="E7">
        <v>26</v>
      </c>
      <c r="F7" t="s">
        <v>36</v>
      </c>
      <c r="G7">
        <f>VLOOKUP(F7,选手工资!A8:C35,3,FALSE)</f>
        <v>4</v>
      </c>
      <c r="H7" t="s">
        <v>80</v>
      </c>
      <c r="I7">
        <v>3</v>
      </c>
      <c r="J7">
        <v>19</v>
      </c>
      <c r="K7">
        <v>6</v>
      </c>
      <c r="L7">
        <v>6</v>
      </c>
      <c r="M7">
        <v>9</v>
      </c>
      <c r="N7" s="1">
        <v>0.577</v>
      </c>
      <c r="O7" s="1">
        <v>0.21</v>
      </c>
      <c r="P7">
        <v>15046</v>
      </c>
      <c r="Q7">
        <v>233</v>
      </c>
      <c r="R7">
        <v>9</v>
      </c>
      <c r="S7">
        <v>474</v>
      </c>
      <c r="T7">
        <v>598</v>
      </c>
      <c r="U7">
        <v>2</v>
      </c>
      <c r="V7">
        <v>3888</v>
      </c>
      <c r="W7">
        <v>0</v>
      </c>
      <c r="X7">
        <v>20383</v>
      </c>
      <c r="Y7">
        <v>633</v>
      </c>
      <c r="Z7">
        <v>59047</v>
      </c>
      <c r="AA7" s="1">
        <v>0.491</v>
      </c>
      <c r="AB7">
        <v>1618</v>
      </c>
      <c r="AC7" s="3">
        <v>0.192361111111111</v>
      </c>
      <c r="AD7">
        <v>8</v>
      </c>
      <c r="AE7">
        <v>4138</v>
      </c>
      <c r="AF7">
        <v>7</v>
      </c>
      <c r="AG7">
        <v>0</v>
      </c>
      <c r="AH7">
        <v>0</v>
      </c>
      <c r="AI7">
        <v>0</v>
      </c>
    </row>
    <row r="8" spans="1:35">
      <c r="A8">
        <v>260508</v>
      </c>
      <c r="B8">
        <v>1</v>
      </c>
      <c r="C8" t="s">
        <v>76</v>
      </c>
      <c r="D8" t="s">
        <v>84</v>
      </c>
      <c r="E8">
        <v>26</v>
      </c>
      <c r="F8" t="s">
        <v>13</v>
      </c>
      <c r="G8">
        <v>10.5</v>
      </c>
      <c r="H8" t="s">
        <v>95</v>
      </c>
      <c r="I8">
        <v>2</v>
      </c>
      <c r="J8">
        <v>21</v>
      </c>
      <c r="K8">
        <v>7</v>
      </c>
      <c r="L8">
        <v>7</v>
      </c>
      <c r="M8">
        <v>8</v>
      </c>
      <c r="N8" s="1">
        <v>0.577</v>
      </c>
      <c r="O8" s="1">
        <v>0.236</v>
      </c>
      <c r="P8">
        <v>14747</v>
      </c>
      <c r="Q8">
        <v>222</v>
      </c>
      <c r="R8">
        <v>8</v>
      </c>
      <c r="S8">
        <v>498</v>
      </c>
      <c r="T8">
        <v>681</v>
      </c>
      <c r="U8">
        <v>2</v>
      </c>
      <c r="V8">
        <v>0</v>
      </c>
      <c r="W8">
        <v>0</v>
      </c>
      <c r="X8">
        <v>22871</v>
      </c>
      <c r="Y8">
        <v>0</v>
      </c>
      <c r="Z8">
        <v>41541</v>
      </c>
      <c r="AA8" s="1">
        <v>0.451</v>
      </c>
      <c r="AB8">
        <v>1448</v>
      </c>
      <c r="AC8" s="3">
        <v>0.163888888888889</v>
      </c>
      <c r="AD8">
        <v>10</v>
      </c>
      <c r="AE8">
        <v>3487</v>
      </c>
      <c r="AF8">
        <v>7</v>
      </c>
      <c r="AG8">
        <v>50</v>
      </c>
      <c r="AH8">
        <v>2</v>
      </c>
      <c r="AI8">
        <v>0</v>
      </c>
    </row>
    <row r="9" spans="1:35">
      <c r="A9">
        <v>260508</v>
      </c>
      <c r="B9">
        <v>1</v>
      </c>
      <c r="C9" t="s">
        <v>76</v>
      </c>
      <c r="D9" t="s">
        <v>84</v>
      </c>
      <c r="E9">
        <v>26</v>
      </c>
      <c r="F9" t="s">
        <v>18</v>
      </c>
      <c r="G9" t="e">
        <f>VLOOKUP(F9,选手工资!A10:C37,3,FALSE)</f>
        <v>#N/A</v>
      </c>
      <c r="H9" t="s">
        <v>82</v>
      </c>
      <c r="I9">
        <v>1</v>
      </c>
      <c r="J9">
        <v>21</v>
      </c>
      <c r="K9">
        <v>8</v>
      </c>
      <c r="L9">
        <v>8</v>
      </c>
      <c r="M9">
        <v>5</v>
      </c>
      <c r="N9" s="1">
        <v>0.5</v>
      </c>
      <c r="O9" s="1">
        <v>0.258</v>
      </c>
      <c r="P9">
        <v>17237</v>
      </c>
      <c r="Q9">
        <v>256</v>
      </c>
      <c r="R9">
        <v>4</v>
      </c>
      <c r="S9">
        <v>541</v>
      </c>
      <c r="T9">
        <v>732</v>
      </c>
      <c r="U9">
        <v>1</v>
      </c>
      <c r="V9">
        <v>0</v>
      </c>
      <c r="W9">
        <v>0</v>
      </c>
      <c r="X9">
        <v>24991</v>
      </c>
      <c r="Y9">
        <v>449</v>
      </c>
      <c r="Z9">
        <v>60584</v>
      </c>
      <c r="AA9" s="1">
        <v>0.399</v>
      </c>
      <c r="AB9">
        <v>1945</v>
      </c>
      <c r="AC9" s="3">
        <v>0.264583333333333</v>
      </c>
      <c r="AD9">
        <v>3</v>
      </c>
      <c r="AE9">
        <v>4013</v>
      </c>
      <c r="AF9">
        <v>6</v>
      </c>
      <c r="AG9">
        <v>0</v>
      </c>
      <c r="AH9">
        <v>0</v>
      </c>
      <c r="AI9">
        <v>0</v>
      </c>
    </row>
    <row r="10" spans="1:35">
      <c r="A10">
        <v>260508</v>
      </c>
      <c r="B10">
        <v>1</v>
      </c>
      <c r="C10" t="s">
        <v>76</v>
      </c>
      <c r="D10" t="s">
        <v>84</v>
      </c>
      <c r="E10">
        <v>26</v>
      </c>
      <c r="F10" t="s">
        <v>14</v>
      </c>
      <c r="G10">
        <v>8.5</v>
      </c>
      <c r="H10" t="s">
        <v>141</v>
      </c>
      <c r="I10">
        <v>4</v>
      </c>
      <c r="J10">
        <v>16</v>
      </c>
      <c r="K10">
        <v>4</v>
      </c>
      <c r="L10">
        <v>10</v>
      </c>
      <c r="M10">
        <v>16</v>
      </c>
      <c r="N10" s="1">
        <v>0.769</v>
      </c>
      <c r="O10" s="1">
        <v>0.203</v>
      </c>
      <c r="P10">
        <v>8479</v>
      </c>
      <c r="Q10">
        <v>69</v>
      </c>
      <c r="R10">
        <v>1</v>
      </c>
      <c r="S10">
        <v>317</v>
      </c>
      <c r="T10">
        <v>421</v>
      </c>
      <c r="U10">
        <v>1</v>
      </c>
      <c r="V10">
        <v>0</v>
      </c>
      <c r="W10">
        <v>1</v>
      </c>
      <c r="X10">
        <v>19647</v>
      </c>
      <c r="Y10">
        <v>0</v>
      </c>
      <c r="Z10">
        <v>31837</v>
      </c>
      <c r="AA10" s="1">
        <v>0.331</v>
      </c>
      <c r="AB10">
        <v>1280</v>
      </c>
      <c r="AC10" s="3">
        <v>0.252777777777778</v>
      </c>
      <c r="AD10">
        <v>4</v>
      </c>
      <c r="AE10">
        <v>2289</v>
      </c>
      <c r="AF10">
        <v>6</v>
      </c>
      <c r="AG10">
        <v>800</v>
      </c>
      <c r="AH10">
        <v>3</v>
      </c>
      <c r="AI10">
        <v>5</v>
      </c>
    </row>
    <row r="11" spans="1:35">
      <c r="A11">
        <v>260508</v>
      </c>
      <c r="B11">
        <v>1</v>
      </c>
      <c r="C11" t="s">
        <v>76</v>
      </c>
      <c r="D11" t="s">
        <v>84</v>
      </c>
      <c r="E11">
        <v>26</v>
      </c>
      <c r="F11" t="s">
        <v>41</v>
      </c>
      <c r="G11">
        <f>VLOOKUP(F11,选手工资!A7:C34,3,FALSE)</f>
        <v>2</v>
      </c>
      <c r="H11" t="s">
        <v>94</v>
      </c>
      <c r="I11">
        <v>5</v>
      </c>
      <c r="J11">
        <v>15</v>
      </c>
      <c r="K11">
        <v>1</v>
      </c>
      <c r="L11">
        <v>13</v>
      </c>
      <c r="M11">
        <v>16</v>
      </c>
      <c r="N11" s="1">
        <v>0.654</v>
      </c>
      <c r="O11" s="1">
        <v>0.092</v>
      </c>
      <c r="P11">
        <v>6586</v>
      </c>
      <c r="Q11">
        <v>18</v>
      </c>
      <c r="R11">
        <v>0</v>
      </c>
      <c r="S11">
        <v>250</v>
      </c>
      <c r="T11">
        <v>388</v>
      </c>
      <c r="U11">
        <v>1</v>
      </c>
      <c r="V11">
        <v>0</v>
      </c>
      <c r="W11">
        <v>0</v>
      </c>
      <c r="X11">
        <v>8955</v>
      </c>
      <c r="Y11">
        <v>0</v>
      </c>
      <c r="Z11">
        <v>25735</v>
      </c>
      <c r="AA11" s="1">
        <v>0.281</v>
      </c>
      <c r="AB11">
        <v>820</v>
      </c>
      <c r="AC11" s="3">
        <v>0.265972222222222</v>
      </c>
      <c r="AD11">
        <v>7</v>
      </c>
      <c r="AE11">
        <v>1485</v>
      </c>
      <c r="AF11">
        <v>5</v>
      </c>
      <c r="AG11">
        <v>550</v>
      </c>
      <c r="AH11">
        <v>2</v>
      </c>
      <c r="AI11">
        <v>4</v>
      </c>
    </row>
    <row r="13" spans="1:35">
      <c r="A13" t="s">
        <v>90</v>
      </c>
      <c r="B13" s="4">
        <v>8802574130</v>
      </c>
      <c r="C13" s="4"/>
    </row>
    <row r="14" spans="1:35">
      <c r="A14" t="s">
        <v>91</v>
      </c>
      <c r="B14" s="7" t="s">
        <v>142</v>
      </c>
    </row>
  </sheetData>
  <sortState ref="A2:AI11">
    <sortCondition ref="C2"/>
  </sortState>
  <mergeCells count="1">
    <mergeCell ref="B13:C1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topLeftCell="C1" workbookViewId="0">
      <pane xSplit="6" ySplit="1" topLeftCell="AD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6" max="6" width="6" customWidth="1"/>
    <col min="7" max="7" width="10.25" customWidth="1"/>
    <col min="31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260508</v>
      </c>
      <c r="B2">
        <v>2</v>
      </c>
      <c r="C2" t="s">
        <v>83</v>
      </c>
      <c r="D2" t="s">
        <v>77</v>
      </c>
      <c r="E2">
        <v>37</v>
      </c>
      <c r="F2" t="s">
        <v>19</v>
      </c>
      <c r="G2">
        <f>VLOOKUP(F2,选手工资!$A:$C,3,FALSE)</f>
        <v>9.5</v>
      </c>
      <c r="H2" t="s">
        <v>143</v>
      </c>
      <c r="I2">
        <v>2</v>
      </c>
      <c r="J2">
        <v>30</v>
      </c>
      <c r="K2">
        <v>11</v>
      </c>
      <c r="L2">
        <v>4</v>
      </c>
      <c r="M2">
        <v>14</v>
      </c>
      <c r="N2" s="1">
        <v>0.676</v>
      </c>
      <c r="O2" s="1">
        <v>0.331</v>
      </c>
      <c r="P2">
        <v>40443</v>
      </c>
      <c r="Q2">
        <v>754</v>
      </c>
      <c r="R2">
        <v>2</v>
      </c>
      <c r="S2">
        <v>798</v>
      </c>
      <c r="T2">
        <v>1096</v>
      </c>
      <c r="U2">
        <v>3</v>
      </c>
      <c r="V2">
        <v>0</v>
      </c>
      <c r="W2">
        <v>2</v>
      </c>
      <c r="X2">
        <v>61393</v>
      </c>
      <c r="Y2">
        <v>2419</v>
      </c>
      <c r="Z2">
        <v>78986</v>
      </c>
      <c r="AA2" s="1">
        <v>0.615</v>
      </c>
      <c r="AB2">
        <v>1898</v>
      </c>
      <c r="AC2" s="3">
        <v>0.110416666666667</v>
      </c>
      <c r="AD2">
        <v>9</v>
      </c>
      <c r="AE2">
        <v>4392</v>
      </c>
      <c r="AF2">
        <v>8</v>
      </c>
      <c r="AG2">
        <v>100</v>
      </c>
      <c r="AH2">
        <v>0</v>
      </c>
      <c r="AI2">
        <v>4</v>
      </c>
    </row>
    <row r="3" spans="1:35">
      <c r="A3">
        <v>260508</v>
      </c>
      <c r="B3">
        <v>2</v>
      </c>
      <c r="C3" t="s">
        <v>83</v>
      </c>
      <c r="D3" t="s">
        <v>77</v>
      </c>
      <c r="E3">
        <v>37</v>
      </c>
      <c r="F3" t="s">
        <v>17</v>
      </c>
      <c r="G3">
        <f>VLOOKUP(F3,选手工资!$A:$C,3,FALSE)</f>
        <v>5.5</v>
      </c>
      <c r="H3" t="s">
        <v>111</v>
      </c>
      <c r="I3">
        <v>1</v>
      </c>
      <c r="J3">
        <v>29</v>
      </c>
      <c r="K3">
        <v>11</v>
      </c>
      <c r="L3">
        <v>7</v>
      </c>
      <c r="M3">
        <v>11</v>
      </c>
      <c r="N3" s="1">
        <v>0.595</v>
      </c>
      <c r="O3" s="1">
        <v>0.296</v>
      </c>
      <c r="P3">
        <v>41183</v>
      </c>
      <c r="Q3">
        <v>681</v>
      </c>
      <c r="R3">
        <v>40</v>
      </c>
      <c r="S3">
        <v>734</v>
      </c>
      <c r="T3">
        <v>1061</v>
      </c>
      <c r="U3">
        <v>2</v>
      </c>
      <c r="V3">
        <v>0</v>
      </c>
      <c r="W3">
        <v>0</v>
      </c>
      <c r="X3">
        <v>54927</v>
      </c>
      <c r="Y3">
        <v>21087</v>
      </c>
      <c r="Z3">
        <v>92383</v>
      </c>
      <c r="AA3" s="1">
        <v>0.526</v>
      </c>
      <c r="AB3">
        <v>3001</v>
      </c>
      <c r="AC3" s="3">
        <v>0.322916666666667</v>
      </c>
      <c r="AD3">
        <v>6</v>
      </c>
      <c r="AE3">
        <v>4340</v>
      </c>
      <c r="AF3">
        <v>7</v>
      </c>
      <c r="AG3">
        <v>0</v>
      </c>
      <c r="AH3">
        <v>1</v>
      </c>
      <c r="AI3">
        <v>1</v>
      </c>
    </row>
    <row r="4" spans="1:35">
      <c r="A4">
        <v>260508</v>
      </c>
      <c r="B4">
        <v>2</v>
      </c>
      <c r="C4" t="s">
        <v>76</v>
      </c>
      <c r="D4" t="s">
        <v>84</v>
      </c>
      <c r="E4">
        <v>39</v>
      </c>
      <c r="F4" t="s">
        <v>15</v>
      </c>
      <c r="G4">
        <f>VLOOKUP(F4,选手工资!$A:$C,3,FALSE)</f>
        <v>7.5</v>
      </c>
      <c r="H4" t="s">
        <v>144</v>
      </c>
      <c r="I4">
        <v>2</v>
      </c>
      <c r="J4">
        <v>28</v>
      </c>
      <c r="K4">
        <v>9</v>
      </c>
      <c r="L4">
        <v>5</v>
      </c>
      <c r="M4">
        <v>23</v>
      </c>
      <c r="N4" s="1">
        <v>0.821</v>
      </c>
      <c r="O4" s="1">
        <v>0.41</v>
      </c>
      <c r="P4">
        <v>34118</v>
      </c>
      <c r="Q4">
        <v>665</v>
      </c>
      <c r="R4">
        <v>7</v>
      </c>
      <c r="S4">
        <v>690</v>
      </c>
      <c r="T4">
        <v>929</v>
      </c>
      <c r="U4">
        <v>3</v>
      </c>
      <c r="V4">
        <v>0</v>
      </c>
      <c r="W4">
        <v>0</v>
      </c>
      <c r="X4">
        <v>67958</v>
      </c>
      <c r="Y4">
        <v>49</v>
      </c>
      <c r="Z4">
        <v>47727</v>
      </c>
      <c r="AA4" s="1">
        <v>0.364</v>
      </c>
      <c r="AB4">
        <v>1900</v>
      </c>
      <c r="AC4" s="3">
        <v>0.0722222222222222</v>
      </c>
      <c r="AD4">
        <v>10</v>
      </c>
      <c r="AE4">
        <v>4301</v>
      </c>
      <c r="AF4">
        <v>8</v>
      </c>
      <c r="AG4">
        <v>50</v>
      </c>
      <c r="AH4">
        <v>3</v>
      </c>
      <c r="AI4">
        <v>4</v>
      </c>
    </row>
    <row r="5" spans="1:35">
      <c r="A5">
        <v>260508</v>
      </c>
      <c r="B5">
        <v>2</v>
      </c>
      <c r="C5" t="s">
        <v>76</v>
      </c>
      <c r="D5" t="s">
        <v>84</v>
      </c>
      <c r="E5">
        <v>39</v>
      </c>
      <c r="F5" t="s">
        <v>20</v>
      </c>
      <c r="G5">
        <f>VLOOKUP(F5,选手工资!$A:$C,3,FALSE)</f>
        <v>6.5</v>
      </c>
      <c r="H5" t="s">
        <v>105</v>
      </c>
      <c r="I5">
        <v>1</v>
      </c>
      <c r="J5">
        <v>29</v>
      </c>
      <c r="K5">
        <v>14</v>
      </c>
      <c r="L5">
        <v>5</v>
      </c>
      <c r="M5">
        <v>10</v>
      </c>
      <c r="N5" s="1">
        <v>0.615</v>
      </c>
      <c r="O5" s="1">
        <v>0.278</v>
      </c>
      <c r="P5">
        <v>32995</v>
      </c>
      <c r="Q5">
        <v>585</v>
      </c>
      <c r="R5">
        <v>13</v>
      </c>
      <c r="S5">
        <v>700</v>
      </c>
      <c r="T5">
        <v>977</v>
      </c>
      <c r="U5">
        <v>5</v>
      </c>
      <c r="V5">
        <v>0</v>
      </c>
      <c r="W5">
        <v>0</v>
      </c>
      <c r="X5">
        <v>46135</v>
      </c>
      <c r="Y5">
        <v>4681</v>
      </c>
      <c r="Z5">
        <v>151944</v>
      </c>
      <c r="AA5" s="1">
        <v>0.6</v>
      </c>
      <c r="AB5">
        <v>3468</v>
      </c>
      <c r="AC5" s="3">
        <v>0.222916666666667</v>
      </c>
      <c r="AD5">
        <v>8</v>
      </c>
      <c r="AE5">
        <v>4196</v>
      </c>
      <c r="AF5">
        <v>7</v>
      </c>
      <c r="AG5">
        <v>0</v>
      </c>
      <c r="AH5">
        <v>0</v>
      </c>
      <c r="AI5">
        <v>0</v>
      </c>
    </row>
    <row r="6" spans="1:35">
      <c r="A6">
        <v>260508</v>
      </c>
      <c r="B6">
        <v>2</v>
      </c>
      <c r="C6" t="s">
        <v>76</v>
      </c>
      <c r="D6" t="s">
        <v>84</v>
      </c>
      <c r="E6">
        <v>39</v>
      </c>
      <c r="F6" t="s">
        <v>31</v>
      </c>
      <c r="G6">
        <f>VLOOKUP(F6,选手工资!$A:$C,3,FALSE)</f>
        <v>7</v>
      </c>
      <c r="H6" t="s">
        <v>145</v>
      </c>
      <c r="I6">
        <v>3</v>
      </c>
      <c r="J6">
        <v>27</v>
      </c>
      <c r="K6">
        <v>11</v>
      </c>
      <c r="L6">
        <v>6</v>
      </c>
      <c r="M6">
        <v>12</v>
      </c>
      <c r="N6" s="1">
        <v>0.59</v>
      </c>
      <c r="O6" s="1">
        <v>0.164</v>
      </c>
      <c r="P6">
        <v>21745</v>
      </c>
      <c r="Q6">
        <v>345</v>
      </c>
      <c r="R6">
        <v>10</v>
      </c>
      <c r="S6">
        <v>462</v>
      </c>
      <c r="T6">
        <v>744</v>
      </c>
      <c r="U6">
        <v>3</v>
      </c>
      <c r="V6">
        <v>0</v>
      </c>
      <c r="W6">
        <v>0</v>
      </c>
      <c r="X6">
        <v>27185</v>
      </c>
      <c r="Y6">
        <v>665</v>
      </c>
      <c r="Z6">
        <v>85550</v>
      </c>
      <c r="AA6" s="1">
        <v>0.564</v>
      </c>
      <c r="AB6">
        <v>1885</v>
      </c>
      <c r="AC6" s="3">
        <v>0.204861111111111</v>
      </c>
      <c r="AD6">
        <v>7</v>
      </c>
      <c r="AE6">
        <v>3937</v>
      </c>
      <c r="AF6">
        <v>7</v>
      </c>
      <c r="AG6">
        <v>500</v>
      </c>
      <c r="AH6">
        <v>0</v>
      </c>
      <c r="AI6">
        <v>1</v>
      </c>
    </row>
    <row r="7" spans="1:35">
      <c r="A7">
        <v>260508</v>
      </c>
      <c r="B7">
        <v>2</v>
      </c>
      <c r="C7" t="s">
        <v>83</v>
      </c>
      <c r="D7" t="s">
        <v>77</v>
      </c>
      <c r="E7">
        <v>37</v>
      </c>
      <c r="F7" t="s">
        <v>40</v>
      </c>
      <c r="G7">
        <f>VLOOKUP(F7,选手工资!$A:$C,3,FALSE)</f>
        <v>1</v>
      </c>
      <c r="H7" t="s">
        <v>124</v>
      </c>
      <c r="I7">
        <v>3</v>
      </c>
      <c r="J7">
        <v>25</v>
      </c>
      <c r="K7">
        <v>4</v>
      </c>
      <c r="L7">
        <v>9</v>
      </c>
      <c r="M7">
        <v>14</v>
      </c>
      <c r="N7" s="1">
        <v>0.486</v>
      </c>
      <c r="O7" s="1">
        <v>0.125</v>
      </c>
      <c r="P7">
        <v>20017</v>
      </c>
      <c r="Q7">
        <v>311</v>
      </c>
      <c r="R7">
        <v>1</v>
      </c>
      <c r="S7">
        <v>412</v>
      </c>
      <c r="T7">
        <v>633</v>
      </c>
      <c r="U7">
        <v>2</v>
      </c>
      <c r="V7">
        <v>0</v>
      </c>
      <c r="W7">
        <v>1</v>
      </c>
      <c r="X7">
        <v>23196</v>
      </c>
      <c r="Y7">
        <v>643</v>
      </c>
      <c r="Z7">
        <v>69379</v>
      </c>
      <c r="AA7" s="1">
        <v>0.431</v>
      </c>
      <c r="AB7">
        <v>2464</v>
      </c>
      <c r="AC7" s="3">
        <v>0.286805555555556</v>
      </c>
      <c r="AD7">
        <v>2</v>
      </c>
      <c r="AE7">
        <v>2872</v>
      </c>
      <c r="AF7">
        <v>6</v>
      </c>
      <c r="AG7">
        <v>0</v>
      </c>
      <c r="AH7">
        <v>2</v>
      </c>
      <c r="AI7">
        <v>0</v>
      </c>
    </row>
    <row r="8" spans="1:35">
      <c r="A8">
        <v>260508</v>
      </c>
      <c r="B8">
        <v>2</v>
      </c>
      <c r="C8" t="s">
        <v>83</v>
      </c>
      <c r="D8" t="s">
        <v>77</v>
      </c>
      <c r="E8">
        <v>37</v>
      </c>
      <c r="F8" t="s">
        <v>22</v>
      </c>
      <c r="G8">
        <f>VLOOKUP(F8,选手工资!$A:$C,3,FALSE)</f>
        <v>5</v>
      </c>
      <c r="H8" t="s">
        <v>79</v>
      </c>
      <c r="I8">
        <v>5</v>
      </c>
      <c r="J8">
        <v>24</v>
      </c>
      <c r="K8">
        <v>5</v>
      </c>
      <c r="L8">
        <v>9</v>
      </c>
      <c r="M8">
        <v>18</v>
      </c>
      <c r="N8" s="1">
        <v>0.622</v>
      </c>
      <c r="O8" s="1">
        <v>0.091</v>
      </c>
      <c r="P8">
        <v>17706</v>
      </c>
      <c r="Q8">
        <v>127</v>
      </c>
      <c r="R8">
        <v>0</v>
      </c>
      <c r="S8">
        <v>326</v>
      </c>
      <c r="T8">
        <v>552</v>
      </c>
      <c r="U8">
        <v>4</v>
      </c>
      <c r="V8">
        <v>0</v>
      </c>
      <c r="W8">
        <v>0</v>
      </c>
      <c r="X8">
        <v>16960</v>
      </c>
      <c r="Y8">
        <v>393</v>
      </c>
      <c r="Z8">
        <v>36850</v>
      </c>
      <c r="AA8" s="1">
        <v>0.499</v>
      </c>
      <c r="AB8">
        <v>1406</v>
      </c>
      <c r="AC8" s="3">
        <v>0.261111111111111</v>
      </c>
      <c r="AD8">
        <v>1</v>
      </c>
      <c r="AE8">
        <v>2812</v>
      </c>
      <c r="AF8">
        <v>6</v>
      </c>
      <c r="AG8">
        <v>1100</v>
      </c>
      <c r="AH8">
        <v>1</v>
      </c>
      <c r="AI8">
        <v>6</v>
      </c>
    </row>
    <row r="9" spans="1:35">
      <c r="A9">
        <v>260508</v>
      </c>
      <c r="B9">
        <v>2</v>
      </c>
      <c r="C9" t="s">
        <v>76</v>
      </c>
      <c r="D9" t="s">
        <v>84</v>
      </c>
      <c r="E9">
        <v>39</v>
      </c>
      <c r="F9" t="s">
        <v>28</v>
      </c>
      <c r="G9">
        <f>VLOOKUP(F9,选手工资!$A:$C,3,FALSE)</f>
        <v>6</v>
      </c>
      <c r="H9" t="s">
        <v>102</v>
      </c>
      <c r="I9">
        <v>5</v>
      </c>
      <c r="J9">
        <v>22</v>
      </c>
      <c r="K9">
        <v>3</v>
      </c>
      <c r="L9">
        <v>12</v>
      </c>
      <c r="M9">
        <v>13</v>
      </c>
      <c r="N9" s="1">
        <v>0.41</v>
      </c>
      <c r="O9" s="1">
        <v>0.073</v>
      </c>
      <c r="P9">
        <v>12964</v>
      </c>
      <c r="Q9">
        <v>196</v>
      </c>
      <c r="R9">
        <v>1</v>
      </c>
      <c r="S9">
        <v>314</v>
      </c>
      <c r="T9">
        <v>480</v>
      </c>
      <c r="U9">
        <v>2</v>
      </c>
      <c r="V9">
        <v>0</v>
      </c>
      <c r="W9">
        <v>1</v>
      </c>
      <c r="X9">
        <v>12166</v>
      </c>
      <c r="Y9">
        <v>373</v>
      </c>
      <c r="Z9">
        <v>41144</v>
      </c>
      <c r="AA9" s="1">
        <v>0.425</v>
      </c>
      <c r="AB9">
        <v>1540</v>
      </c>
      <c r="AC9" s="3">
        <v>0.383333333333333</v>
      </c>
      <c r="AD9">
        <v>3</v>
      </c>
      <c r="AE9">
        <v>2490</v>
      </c>
      <c r="AF9">
        <v>6</v>
      </c>
      <c r="AG9">
        <v>3050</v>
      </c>
      <c r="AH9">
        <v>1</v>
      </c>
      <c r="AI9">
        <v>8</v>
      </c>
    </row>
    <row r="10" spans="1:35">
      <c r="A10">
        <v>260508</v>
      </c>
      <c r="B10">
        <v>2</v>
      </c>
      <c r="C10" t="s">
        <v>83</v>
      </c>
      <c r="D10" t="s">
        <v>77</v>
      </c>
      <c r="E10">
        <v>37</v>
      </c>
      <c r="F10" t="s">
        <v>14</v>
      </c>
      <c r="G10">
        <f>VLOOKUP(F10,选手工资!$A:$C,3,FALSE)</f>
        <v>8.5</v>
      </c>
      <c r="H10" t="s">
        <v>141</v>
      </c>
      <c r="I10">
        <v>4</v>
      </c>
      <c r="J10">
        <v>26</v>
      </c>
      <c r="K10">
        <v>5</v>
      </c>
      <c r="L10">
        <v>10</v>
      </c>
      <c r="M10">
        <v>24</v>
      </c>
      <c r="N10" s="1">
        <v>0.784</v>
      </c>
      <c r="O10" s="1">
        <v>0.156</v>
      </c>
      <c r="P10">
        <v>20599</v>
      </c>
      <c r="Q10">
        <v>189</v>
      </c>
      <c r="R10">
        <v>4</v>
      </c>
      <c r="S10">
        <v>414</v>
      </c>
      <c r="T10">
        <v>736</v>
      </c>
      <c r="U10">
        <v>6</v>
      </c>
      <c r="V10">
        <v>469</v>
      </c>
      <c r="W10">
        <v>0</v>
      </c>
      <c r="X10">
        <v>28908</v>
      </c>
      <c r="Y10">
        <v>192</v>
      </c>
      <c r="Z10">
        <v>61157</v>
      </c>
      <c r="AA10" s="1">
        <v>0.451</v>
      </c>
      <c r="AB10">
        <v>1330</v>
      </c>
      <c r="AC10" s="3">
        <v>0.215972222222222</v>
      </c>
      <c r="AD10">
        <v>5</v>
      </c>
      <c r="AE10">
        <v>2452</v>
      </c>
      <c r="AF10">
        <v>5</v>
      </c>
      <c r="AG10">
        <v>650</v>
      </c>
      <c r="AH10">
        <v>4</v>
      </c>
      <c r="AI10">
        <v>2</v>
      </c>
    </row>
    <row r="11" spans="1:35">
      <c r="A11">
        <v>260508</v>
      </c>
      <c r="B11">
        <v>2</v>
      </c>
      <c r="C11" t="s">
        <v>76</v>
      </c>
      <c r="D11" t="s">
        <v>84</v>
      </c>
      <c r="E11">
        <v>39</v>
      </c>
      <c r="F11" t="s">
        <v>39</v>
      </c>
      <c r="G11">
        <f>VLOOKUP(F11,选手工资!$A:$C,3,FALSE)</f>
        <v>3</v>
      </c>
      <c r="H11" t="s">
        <v>146</v>
      </c>
      <c r="I11">
        <v>4</v>
      </c>
      <c r="J11">
        <v>26</v>
      </c>
      <c r="K11">
        <v>2</v>
      </c>
      <c r="L11">
        <v>9</v>
      </c>
      <c r="M11">
        <v>21</v>
      </c>
      <c r="N11" s="1">
        <v>0.59</v>
      </c>
      <c r="O11" s="1">
        <v>0.074</v>
      </c>
      <c r="P11">
        <v>14250</v>
      </c>
      <c r="Q11">
        <v>118</v>
      </c>
      <c r="R11">
        <v>2</v>
      </c>
      <c r="S11">
        <v>332</v>
      </c>
      <c r="T11">
        <v>659</v>
      </c>
      <c r="U11">
        <v>0</v>
      </c>
      <c r="V11">
        <v>3332</v>
      </c>
      <c r="W11">
        <v>0</v>
      </c>
      <c r="X11">
        <v>12316</v>
      </c>
      <c r="Y11">
        <v>3498</v>
      </c>
      <c r="Z11">
        <v>57399</v>
      </c>
      <c r="AA11" s="1">
        <v>0.432</v>
      </c>
      <c r="AB11">
        <v>1413</v>
      </c>
      <c r="AC11" s="3">
        <v>0.230555555555556</v>
      </c>
      <c r="AD11">
        <v>4</v>
      </c>
      <c r="AE11">
        <v>1873</v>
      </c>
      <c r="AF11">
        <v>5</v>
      </c>
      <c r="AG11">
        <v>830</v>
      </c>
      <c r="AH11">
        <v>3</v>
      </c>
      <c r="AI11">
        <v>3</v>
      </c>
    </row>
    <row r="13" spans="1:35">
      <c r="A13" t="s">
        <v>90</v>
      </c>
      <c r="B13" s="4">
        <v>8802642559</v>
      </c>
      <c r="C13" s="4"/>
    </row>
    <row r="14" spans="1:35">
      <c r="A14" t="s">
        <v>91</v>
      </c>
      <c r="B14" s="7" t="s">
        <v>147</v>
      </c>
    </row>
  </sheetData>
  <sortState ref="A2:AI11">
    <sortCondition ref="AE2" descending="1"/>
  </sortState>
  <mergeCells count="1">
    <mergeCell ref="B13:C1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workbookViewId="0">
      <pane xSplit="8" ySplit="1" topLeftCell="AF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6" max="6" width="8.125" customWidth="1"/>
    <col min="7" max="7" width="10.25" customWidth="1"/>
    <col min="31" max="32" width="12.5" customWidth="1"/>
    <col min="33" max="33" width="15.125" customWidth="1"/>
  </cols>
  <sheetData>
    <row r="1" ht="15.95" customHeight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ht="15.95" customHeight="1" spans="1:35">
      <c r="A2">
        <v>260508</v>
      </c>
      <c r="B2">
        <v>3</v>
      </c>
      <c r="C2" t="s">
        <v>83</v>
      </c>
      <c r="D2" t="s">
        <v>84</v>
      </c>
      <c r="E2">
        <v>47</v>
      </c>
      <c r="F2" t="s">
        <v>30</v>
      </c>
      <c r="G2">
        <f>VLOOKUP(F2,选手工资!$A:$C,3,FALSE)</f>
        <v>7.5</v>
      </c>
      <c r="H2" t="s">
        <v>148</v>
      </c>
      <c r="I2">
        <v>2</v>
      </c>
      <c r="J2">
        <v>28</v>
      </c>
      <c r="K2">
        <v>8</v>
      </c>
      <c r="L2">
        <v>10</v>
      </c>
      <c r="M2">
        <v>18</v>
      </c>
      <c r="N2" s="1">
        <v>0.553</v>
      </c>
      <c r="O2" s="1">
        <v>0.216</v>
      </c>
      <c r="P2">
        <v>29961</v>
      </c>
      <c r="Q2">
        <v>510</v>
      </c>
      <c r="R2">
        <v>4</v>
      </c>
      <c r="S2">
        <v>613</v>
      </c>
      <c r="T2">
        <v>966</v>
      </c>
      <c r="U2">
        <v>5</v>
      </c>
      <c r="V2">
        <v>0</v>
      </c>
      <c r="W2">
        <v>0</v>
      </c>
      <c r="X2">
        <v>40079</v>
      </c>
      <c r="Y2">
        <v>633</v>
      </c>
      <c r="Z2">
        <v>107193</v>
      </c>
      <c r="AA2" s="1">
        <v>0.516</v>
      </c>
      <c r="AB2">
        <v>2372</v>
      </c>
      <c r="AC2" s="3">
        <v>0.322916666666667</v>
      </c>
      <c r="AD2">
        <v>6</v>
      </c>
      <c r="AE2">
        <v>3121</v>
      </c>
      <c r="AF2">
        <v>8</v>
      </c>
      <c r="AG2">
        <v>130</v>
      </c>
      <c r="AH2">
        <v>0</v>
      </c>
      <c r="AI2">
        <v>1</v>
      </c>
    </row>
    <row r="3" ht="15.95" customHeight="1" spans="1:35">
      <c r="A3">
        <v>260508</v>
      </c>
      <c r="B3">
        <v>3</v>
      </c>
      <c r="C3" t="s">
        <v>83</v>
      </c>
      <c r="D3" t="s">
        <v>84</v>
      </c>
      <c r="E3">
        <v>47</v>
      </c>
      <c r="F3" t="s">
        <v>14</v>
      </c>
      <c r="G3">
        <f>VLOOKUP(F3,选手工资!$A:$C,3,FALSE)</f>
        <v>8.5</v>
      </c>
      <c r="H3" t="s">
        <v>82</v>
      </c>
      <c r="I3">
        <v>1</v>
      </c>
      <c r="J3">
        <v>29</v>
      </c>
      <c r="K3">
        <v>12</v>
      </c>
      <c r="L3">
        <v>9</v>
      </c>
      <c r="M3">
        <v>21</v>
      </c>
      <c r="N3" s="1">
        <v>0.702</v>
      </c>
      <c r="O3" s="1">
        <v>0.317</v>
      </c>
      <c r="P3">
        <v>35120</v>
      </c>
      <c r="Q3">
        <v>616</v>
      </c>
      <c r="R3">
        <v>17</v>
      </c>
      <c r="S3">
        <v>718</v>
      </c>
      <c r="T3">
        <v>1070</v>
      </c>
      <c r="U3">
        <v>0</v>
      </c>
      <c r="V3">
        <v>0</v>
      </c>
      <c r="W3">
        <v>0</v>
      </c>
      <c r="X3">
        <v>58970</v>
      </c>
      <c r="Y3">
        <v>3317</v>
      </c>
      <c r="Z3">
        <v>106107</v>
      </c>
      <c r="AA3" s="1">
        <v>0.438</v>
      </c>
      <c r="AB3">
        <v>2371</v>
      </c>
      <c r="AC3" s="3">
        <v>0.307638888888889</v>
      </c>
      <c r="AD3">
        <v>2</v>
      </c>
      <c r="AE3">
        <v>4384</v>
      </c>
      <c r="AF3">
        <v>7</v>
      </c>
      <c r="AG3">
        <v>80</v>
      </c>
      <c r="AH3">
        <v>1</v>
      </c>
      <c r="AI3">
        <v>4</v>
      </c>
    </row>
    <row r="4" ht="15.95" customHeight="1" spans="1:35">
      <c r="A4">
        <v>260508</v>
      </c>
      <c r="B4">
        <v>3</v>
      </c>
      <c r="C4" t="s">
        <v>83</v>
      </c>
      <c r="D4" t="s">
        <v>84</v>
      </c>
      <c r="E4">
        <v>47</v>
      </c>
      <c r="F4" t="s">
        <v>31</v>
      </c>
      <c r="G4">
        <f>VLOOKUP(F4,选手工资!$A:$C,3,FALSE)</f>
        <v>7</v>
      </c>
      <c r="H4" t="s">
        <v>149</v>
      </c>
      <c r="I4">
        <v>3</v>
      </c>
      <c r="J4">
        <v>27</v>
      </c>
      <c r="K4">
        <v>14</v>
      </c>
      <c r="L4">
        <v>11</v>
      </c>
      <c r="M4">
        <v>18</v>
      </c>
      <c r="N4" s="1">
        <v>0.681</v>
      </c>
      <c r="O4" s="1">
        <v>0.16</v>
      </c>
      <c r="P4">
        <v>25905</v>
      </c>
      <c r="Q4">
        <v>364</v>
      </c>
      <c r="R4">
        <v>5</v>
      </c>
      <c r="S4">
        <v>555</v>
      </c>
      <c r="T4">
        <v>812</v>
      </c>
      <c r="U4">
        <v>7</v>
      </c>
      <c r="V4">
        <v>0</v>
      </c>
      <c r="W4">
        <v>1</v>
      </c>
      <c r="X4">
        <v>29692</v>
      </c>
      <c r="Y4">
        <v>333</v>
      </c>
      <c r="Z4">
        <v>99393</v>
      </c>
      <c r="AA4" s="1">
        <v>0.544</v>
      </c>
      <c r="AB4">
        <v>2862</v>
      </c>
      <c r="AC4" s="3">
        <v>0.405555555555556</v>
      </c>
      <c r="AD4">
        <v>9</v>
      </c>
      <c r="AE4">
        <v>4542</v>
      </c>
      <c r="AF4">
        <v>6</v>
      </c>
      <c r="AG4">
        <v>260</v>
      </c>
      <c r="AH4">
        <v>0</v>
      </c>
      <c r="AI4">
        <v>0</v>
      </c>
    </row>
    <row r="5" ht="15.95" customHeight="1" spans="1:35">
      <c r="A5">
        <v>260508</v>
      </c>
      <c r="B5">
        <v>3</v>
      </c>
      <c r="C5" t="s">
        <v>83</v>
      </c>
      <c r="D5" t="s">
        <v>84</v>
      </c>
      <c r="E5">
        <v>47</v>
      </c>
      <c r="F5" t="s">
        <v>33</v>
      </c>
      <c r="G5">
        <f>VLOOKUP(F5,选手工资!$A:$C,3,FALSE)</f>
        <v>4</v>
      </c>
      <c r="H5" t="s">
        <v>94</v>
      </c>
      <c r="I5">
        <v>5</v>
      </c>
      <c r="J5">
        <v>25</v>
      </c>
      <c r="K5">
        <v>7</v>
      </c>
      <c r="L5">
        <v>10</v>
      </c>
      <c r="M5">
        <v>29</v>
      </c>
      <c r="N5" s="1">
        <v>0.766</v>
      </c>
      <c r="O5" s="1">
        <v>0.109</v>
      </c>
      <c r="P5">
        <v>14899</v>
      </c>
      <c r="Q5">
        <v>112</v>
      </c>
      <c r="R5">
        <v>1</v>
      </c>
      <c r="S5">
        <v>357</v>
      </c>
      <c r="T5">
        <v>609</v>
      </c>
      <c r="U5">
        <v>5</v>
      </c>
      <c r="V5">
        <v>1047</v>
      </c>
      <c r="W5">
        <v>1</v>
      </c>
      <c r="X5">
        <v>20208</v>
      </c>
      <c r="Y5">
        <v>143</v>
      </c>
      <c r="Z5">
        <v>52550</v>
      </c>
      <c r="AA5" s="1">
        <v>0.431</v>
      </c>
      <c r="AB5">
        <v>1740</v>
      </c>
      <c r="AC5" s="3">
        <v>0.257638888888889</v>
      </c>
      <c r="AD5">
        <v>1</v>
      </c>
      <c r="AE5">
        <v>1742</v>
      </c>
      <c r="AF5">
        <v>5</v>
      </c>
      <c r="AG5">
        <v>2100</v>
      </c>
      <c r="AH5">
        <v>4</v>
      </c>
      <c r="AI5">
        <v>4</v>
      </c>
    </row>
    <row r="6" ht="15.95" customHeight="1" spans="1:35">
      <c r="A6">
        <v>260508</v>
      </c>
      <c r="B6">
        <v>3</v>
      </c>
      <c r="C6" t="s">
        <v>83</v>
      </c>
      <c r="D6" t="s">
        <v>84</v>
      </c>
      <c r="E6">
        <v>47</v>
      </c>
      <c r="F6" t="s">
        <v>36</v>
      </c>
      <c r="G6">
        <f>VLOOKUP(F6,选手工资!$A:$C,3,FALSE)</f>
        <v>4</v>
      </c>
      <c r="H6" t="s">
        <v>133</v>
      </c>
      <c r="I6">
        <v>4</v>
      </c>
      <c r="J6">
        <v>25</v>
      </c>
      <c r="K6">
        <v>6</v>
      </c>
      <c r="L6">
        <v>16</v>
      </c>
      <c r="M6">
        <v>24</v>
      </c>
      <c r="N6" s="1">
        <v>0.638</v>
      </c>
      <c r="O6" s="1">
        <v>0.199</v>
      </c>
      <c r="P6">
        <v>18569</v>
      </c>
      <c r="Q6">
        <v>173</v>
      </c>
      <c r="R6">
        <v>1</v>
      </c>
      <c r="S6">
        <v>388</v>
      </c>
      <c r="T6">
        <v>648</v>
      </c>
      <c r="U6">
        <v>0</v>
      </c>
      <c r="V6">
        <v>6220</v>
      </c>
      <c r="W6">
        <v>0</v>
      </c>
      <c r="X6">
        <v>36927</v>
      </c>
      <c r="Y6">
        <v>994</v>
      </c>
      <c r="Z6">
        <v>69448</v>
      </c>
      <c r="AA6" s="1">
        <v>0.505</v>
      </c>
      <c r="AB6">
        <v>2782</v>
      </c>
      <c r="AC6" s="3">
        <v>0.463194444444444</v>
      </c>
      <c r="AD6">
        <v>5</v>
      </c>
      <c r="AE6">
        <v>1485</v>
      </c>
      <c r="AF6">
        <v>4</v>
      </c>
      <c r="AG6">
        <v>660</v>
      </c>
      <c r="AH6">
        <v>4</v>
      </c>
      <c r="AI6">
        <v>4</v>
      </c>
    </row>
    <row r="7" ht="15.95" customHeight="1" spans="1:35">
      <c r="A7">
        <v>260508</v>
      </c>
      <c r="B7">
        <v>3</v>
      </c>
      <c r="C7" t="s">
        <v>76</v>
      </c>
      <c r="D7" t="s">
        <v>77</v>
      </c>
      <c r="E7">
        <v>56</v>
      </c>
      <c r="F7" t="s">
        <v>17</v>
      </c>
      <c r="G7">
        <f>VLOOKUP(F7,选手工资!$A:$C,3,FALSE)</f>
        <v>5.5</v>
      </c>
      <c r="H7" t="s">
        <v>150</v>
      </c>
      <c r="I7">
        <v>2</v>
      </c>
      <c r="J7">
        <v>28</v>
      </c>
      <c r="K7">
        <v>21</v>
      </c>
      <c r="L7">
        <v>7</v>
      </c>
      <c r="M7">
        <v>17</v>
      </c>
      <c r="N7" s="1">
        <v>0.679</v>
      </c>
      <c r="O7" s="1">
        <v>0.285</v>
      </c>
      <c r="P7">
        <v>29579</v>
      </c>
      <c r="Q7">
        <v>229</v>
      </c>
      <c r="R7">
        <v>13</v>
      </c>
      <c r="S7">
        <v>546</v>
      </c>
      <c r="T7">
        <v>898</v>
      </c>
      <c r="U7">
        <v>2</v>
      </c>
      <c r="V7">
        <v>216</v>
      </c>
      <c r="W7">
        <v>2</v>
      </c>
      <c r="X7">
        <v>63123</v>
      </c>
      <c r="Y7">
        <v>10725</v>
      </c>
      <c r="Z7">
        <v>69705</v>
      </c>
      <c r="AA7" s="1">
        <v>0.543</v>
      </c>
      <c r="AB7">
        <v>2735</v>
      </c>
      <c r="AC7" s="3">
        <v>0.347222222222222</v>
      </c>
      <c r="AD7">
        <v>10</v>
      </c>
      <c r="AE7">
        <v>3884</v>
      </c>
      <c r="AF7">
        <v>8</v>
      </c>
      <c r="AG7">
        <v>200</v>
      </c>
      <c r="AH7">
        <v>0</v>
      </c>
      <c r="AI7">
        <v>8</v>
      </c>
    </row>
    <row r="8" ht="15.95" customHeight="1" spans="1:35">
      <c r="A8">
        <v>260508</v>
      </c>
      <c r="B8">
        <v>3</v>
      </c>
      <c r="C8" t="s">
        <v>76</v>
      </c>
      <c r="D8" t="s">
        <v>77</v>
      </c>
      <c r="E8">
        <v>56</v>
      </c>
      <c r="F8" t="s">
        <v>20</v>
      </c>
      <c r="G8">
        <f>VLOOKUP(F8,选手工资!$A:$C,3,FALSE)</f>
        <v>6.5</v>
      </c>
      <c r="H8" t="s">
        <v>132</v>
      </c>
      <c r="I8">
        <v>1</v>
      </c>
      <c r="J8">
        <v>30</v>
      </c>
      <c r="K8">
        <v>13</v>
      </c>
      <c r="L8">
        <v>6</v>
      </c>
      <c r="M8">
        <v>28</v>
      </c>
      <c r="N8" s="1">
        <v>0.732</v>
      </c>
      <c r="O8" s="1">
        <v>0.301</v>
      </c>
      <c r="P8">
        <v>29092</v>
      </c>
      <c r="Q8">
        <v>550</v>
      </c>
      <c r="R8">
        <v>8</v>
      </c>
      <c r="S8">
        <v>863</v>
      </c>
      <c r="T8">
        <v>1249</v>
      </c>
      <c r="U8">
        <v>5</v>
      </c>
      <c r="V8">
        <v>0</v>
      </c>
      <c r="W8">
        <v>0</v>
      </c>
      <c r="X8">
        <v>66461</v>
      </c>
      <c r="Y8">
        <v>13930</v>
      </c>
      <c r="Z8">
        <v>86831</v>
      </c>
      <c r="AA8" s="1">
        <v>0.472</v>
      </c>
      <c r="AB8">
        <v>1315</v>
      </c>
      <c r="AC8" s="3">
        <v>0.169444444444444</v>
      </c>
      <c r="AD8">
        <v>3</v>
      </c>
      <c r="AE8">
        <v>4653</v>
      </c>
      <c r="AF8">
        <v>6</v>
      </c>
      <c r="AG8">
        <v>900</v>
      </c>
      <c r="AH8">
        <v>7</v>
      </c>
      <c r="AI8">
        <v>1</v>
      </c>
    </row>
    <row r="9" ht="15.95" customHeight="1" spans="1:35">
      <c r="A9">
        <v>260508</v>
      </c>
      <c r="B9">
        <v>3</v>
      </c>
      <c r="C9" t="s">
        <v>76</v>
      </c>
      <c r="D9" t="s">
        <v>77</v>
      </c>
      <c r="E9">
        <v>56</v>
      </c>
      <c r="F9" t="s">
        <v>18</v>
      </c>
      <c r="G9">
        <f>VLOOKUP(F9,选手工资!$A:$C,3,FALSE)</f>
        <v>5</v>
      </c>
      <c r="H9" t="s">
        <v>145</v>
      </c>
      <c r="I9">
        <v>3</v>
      </c>
      <c r="J9">
        <v>26</v>
      </c>
      <c r="K9">
        <v>9</v>
      </c>
      <c r="L9">
        <v>13</v>
      </c>
      <c r="M9">
        <v>22</v>
      </c>
      <c r="N9" s="1">
        <v>0.554</v>
      </c>
      <c r="O9" s="1">
        <v>0.157</v>
      </c>
      <c r="P9">
        <v>30344</v>
      </c>
      <c r="Q9">
        <v>315</v>
      </c>
      <c r="R9">
        <v>11</v>
      </c>
      <c r="S9">
        <v>514</v>
      </c>
      <c r="T9">
        <v>741</v>
      </c>
      <c r="U9">
        <v>4</v>
      </c>
      <c r="V9">
        <v>0</v>
      </c>
      <c r="W9">
        <v>0</v>
      </c>
      <c r="X9">
        <v>34714</v>
      </c>
      <c r="Y9">
        <v>3061</v>
      </c>
      <c r="Z9">
        <v>103314</v>
      </c>
      <c r="AA9" s="1">
        <v>0.5</v>
      </c>
      <c r="AB9">
        <v>3917</v>
      </c>
      <c r="AC9" s="3">
        <v>0.527083333333333</v>
      </c>
      <c r="AD9">
        <v>8</v>
      </c>
      <c r="AE9">
        <v>3396</v>
      </c>
      <c r="AF9">
        <v>6</v>
      </c>
      <c r="AG9">
        <v>160</v>
      </c>
      <c r="AH9">
        <v>1</v>
      </c>
      <c r="AI9">
        <v>0</v>
      </c>
    </row>
    <row r="10" ht="15.95" customHeight="1" spans="1:35">
      <c r="A10">
        <v>260508</v>
      </c>
      <c r="B10">
        <v>3</v>
      </c>
      <c r="C10" t="s">
        <v>76</v>
      </c>
      <c r="D10" t="s">
        <v>77</v>
      </c>
      <c r="E10">
        <v>56</v>
      </c>
      <c r="F10" t="s">
        <v>15</v>
      </c>
      <c r="G10">
        <f>VLOOKUP(F10,选手工资!$A:$C,3,FALSE)</f>
        <v>7.5</v>
      </c>
      <c r="H10" t="s">
        <v>89</v>
      </c>
      <c r="I10">
        <v>4</v>
      </c>
      <c r="J10">
        <v>23</v>
      </c>
      <c r="K10">
        <v>7</v>
      </c>
      <c r="L10">
        <v>12</v>
      </c>
      <c r="M10">
        <v>29</v>
      </c>
      <c r="N10" s="1">
        <v>0.643</v>
      </c>
      <c r="O10" s="1">
        <v>0.143</v>
      </c>
      <c r="P10">
        <v>22418</v>
      </c>
      <c r="Q10">
        <v>109</v>
      </c>
      <c r="R10">
        <v>0</v>
      </c>
      <c r="S10">
        <v>399</v>
      </c>
      <c r="T10">
        <v>505</v>
      </c>
      <c r="U10">
        <v>2</v>
      </c>
      <c r="V10">
        <v>0</v>
      </c>
      <c r="W10">
        <v>0</v>
      </c>
      <c r="X10">
        <v>31589</v>
      </c>
      <c r="Y10">
        <v>1873</v>
      </c>
      <c r="Z10">
        <v>72232</v>
      </c>
      <c r="AA10" s="1">
        <v>0.491</v>
      </c>
      <c r="AB10">
        <v>3242</v>
      </c>
      <c r="AC10" s="3">
        <v>0.484027777777778</v>
      </c>
      <c r="AD10">
        <v>7</v>
      </c>
      <c r="AE10">
        <v>2356</v>
      </c>
      <c r="AF10">
        <v>5</v>
      </c>
      <c r="AG10">
        <v>1140</v>
      </c>
      <c r="AH10">
        <v>0</v>
      </c>
      <c r="AI10">
        <v>6</v>
      </c>
    </row>
    <row r="11" spans="1:35">
      <c r="A11">
        <v>260508</v>
      </c>
      <c r="B11">
        <v>3</v>
      </c>
      <c r="C11" t="s">
        <v>76</v>
      </c>
      <c r="D11" t="s">
        <v>77</v>
      </c>
      <c r="E11">
        <v>56</v>
      </c>
      <c r="F11" t="s">
        <v>25</v>
      </c>
      <c r="G11">
        <f>VLOOKUP(F11,选手工资!$A:$C,3,FALSE)</f>
        <v>6</v>
      </c>
      <c r="H11" t="s">
        <v>106</v>
      </c>
      <c r="I11">
        <v>5</v>
      </c>
      <c r="J11">
        <v>23</v>
      </c>
      <c r="K11">
        <v>6</v>
      </c>
      <c r="L11">
        <v>9</v>
      </c>
      <c r="M11">
        <v>29</v>
      </c>
      <c r="N11" s="1">
        <v>0.625</v>
      </c>
      <c r="O11" s="1">
        <v>0.114</v>
      </c>
      <c r="P11">
        <v>17918</v>
      </c>
      <c r="Q11">
        <v>68</v>
      </c>
      <c r="R11">
        <v>1</v>
      </c>
      <c r="S11">
        <v>330</v>
      </c>
      <c r="T11">
        <v>540</v>
      </c>
      <c r="U11">
        <v>1</v>
      </c>
      <c r="V11">
        <v>0</v>
      </c>
      <c r="W11">
        <v>1</v>
      </c>
      <c r="X11">
        <v>25230</v>
      </c>
      <c r="Y11">
        <v>405</v>
      </c>
      <c r="Z11">
        <v>31281</v>
      </c>
      <c r="AA11" s="1">
        <v>0.366</v>
      </c>
      <c r="AB11">
        <v>1522</v>
      </c>
      <c r="AC11" s="3">
        <v>0.285416666666667</v>
      </c>
      <c r="AD11">
        <v>4</v>
      </c>
      <c r="AE11">
        <v>2236</v>
      </c>
      <c r="AF11">
        <v>6</v>
      </c>
      <c r="AG11">
        <v>1400</v>
      </c>
      <c r="AH11">
        <v>4</v>
      </c>
      <c r="AI11">
        <v>7</v>
      </c>
    </row>
    <row r="13" spans="1:35">
      <c r="A13" t="s">
        <v>90</v>
      </c>
      <c r="B13" s="4">
        <v>8802748606</v>
      </c>
      <c r="C13" s="4"/>
    </row>
    <row r="14" spans="1:35">
      <c r="A14" t="s">
        <v>91</v>
      </c>
      <c r="B14" s="7" t="s">
        <v>151</v>
      </c>
    </row>
  </sheetData>
  <sortState ref="A2:AI11">
    <sortCondition ref="C2"/>
  </sortState>
  <mergeCells count="1">
    <mergeCell ref="B13:C1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AB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6" max="6" width="8.125" customWidth="1"/>
    <col min="7" max="7" width="10.25" customWidth="1"/>
    <col min="8" max="9" width="12.875"/>
    <col min="32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260509</v>
      </c>
      <c r="B2">
        <v>1</v>
      </c>
      <c r="C2" t="s">
        <v>83</v>
      </c>
      <c r="D2" t="s">
        <v>77</v>
      </c>
      <c r="E2">
        <v>43</v>
      </c>
      <c r="F2" t="s">
        <v>31</v>
      </c>
      <c r="G2">
        <f>VLOOKUP(F2,选手工资!$A:$D,4,FALSE)</f>
        <v>6</v>
      </c>
      <c r="H2" t="s">
        <v>150</v>
      </c>
      <c r="I2">
        <v>2</v>
      </c>
      <c r="J2">
        <v>27</v>
      </c>
      <c r="K2">
        <v>12</v>
      </c>
      <c r="L2">
        <v>5</v>
      </c>
      <c r="M2">
        <v>25</v>
      </c>
      <c r="N2" s="1">
        <v>0.86</v>
      </c>
      <c r="O2" s="1">
        <v>0.332</v>
      </c>
      <c r="P2">
        <v>29439</v>
      </c>
      <c r="Q2">
        <v>340</v>
      </c>
      <c r="R2">
        <v>20</v>
      </c>
      <c r="S2">
        <v>625</v>
      </c>
      <c r="T2">
        <v>979</v>
      </c>
      <c r="U2">
        <v>4</v>
      </c>
      <c r="V2">
        <v>177</v>
      </c>
      <c r="W2">
        <v>0</v>
      </c>
      <c r="X2">
        <v>55392</v>
      </c>
      <c r="Y2">
        <v>2651</v>
      </c>
      <c r="Z2">
        <v>96192</v>
      </c>
      <c r="AA2" s="1">
        <v>0.639</v>
      </c>
      <c r="AB2">
        <v>1251</v>
      </c>
      <c r="AC2" s="3">
        <v>0.185416666666667</v>
      </c>
      <c r="AD2">
        <v>9</v>
      </c>
      <c r="AE2">
        <v>3946</v>
      </c>
      <c r="AF2">
        <v>8</v>
      </c>
      <c r="AG2">
        <v>100</v>
      </c>
      <c r="AH2">
        <v>0</v>
      </c>
      <c r="AI2">
        <v>2</v>
      </c>
    </row>
    <row r="3" spans="1:35">
      <c r="A3">
        <v>260509</v>
      </c>
      <c r="B3">
        <v>1</v>
      </c>
      <c r="C3" t="s">
        <v>83</v>
      </c>
      <c r="D3" t="s">
        <v>77</v>
      </c>
      <c r="E3">
        <v>43</v>
      </c>
      <c r="F3" t="s">
        <v>15</v>
      </c>
      <c r="G3">
        <f>VLOOKUP(F3,选手工资!$A:$D,4,FALSE)</f>
        <v>8.5</v>
      </c>
      <c r="H3" t="s">
        <v>118</v>
      </c>
      <c r="I3">
        <v>1</v>
      </c>
      <c r="J3">
        <v>28</v>
      </c>
      <c r="K3">
        <v>8</v>
      </c>
      <c r="L3">
        <v>6</v>
      </c>
      <c r="M3">
        <v>30</v>
      </c>
      <c r="N3" s="1">
        <v>0.884</v>
      </c>
      <c r="O3" s="1">
        <v>0.26</v>
      </c>
      <c r="P3">
        <v>37098</v>
      </c>
      <c r="Q3">
        <v>554</v>
      </c>
      <c r="R3">
        <v>8</v>
      </c>
      <c r="S3">
        <v>755</v>
      </c>
      <c r="T3">
        <v>1064</v>
      </c>
      <c r="U3">
        <v>4</v>
      </c>
      <c r="V3">
        <v>0</v>
      </c>
      <c r="W3">
        <v>0</v>
      </c>
      <c r="X3">
        <v>43391</v>
      </c>
      <c r="Y3">
        <v>16700</v>
      </c>
      <c r="Z3">
        <v>101709</v>
      </c>
      <c r="AA3" s="1">
        <v>0.605</v>
      </c>
      <c r="AB3">
        <v>649</v>
      </c>
      <c r="AC3" s="3">
        <v>0.140972222222222</v>
      </c>
      <c r="AD3">
        <v>5</v>
      </c>
      <c r="AE3">
        <v>3838</v>
      </c>
      <c r="AF3">
        <v>7</v>
      </c>
      <c r="AG3">
        <v>0</v>
      </c>
      <c r="AH3">
        <v>1</v>
      </c>
      <c r="AI3">
        <v>3</v>
      </c>
    </row>
    <row r="4" spans="1:35">
      <c r="A4">
        <v>260509</v>
      </c>
      <c r="B4">
        <v>1</v>
      </c>
      <c r="C4" t="s">
        <v>83</v>
      </c>
      <c r="D4" t="s">
        <v>77</v>
      </c>
      <c r="E4">
        <v>43</v>
      </c>
      <c r="F4" t="s">
        <v>36</v>
      </c>
      <c r="G4">
        <f>VLOOKUP(F4,选手工资!$A:$D,4,FALSE)</f>
        <v>3</v>
      </c>
      <c r="H4" t="s">
        <v>87</v>
      </c>
      <c r="I4">
        <v>3</v>
      </c>
      <c r="J4">
        <v>25</v>
      </c>
      <c r="K4">
        <v>4</v>
      </c>
      <c r="L4">
        <v>8</v>
      </c>
      <c r="M4">
        <v>20</v>
      </c>
      <c r="N4" s="1">
        <v>0.558</v>
      </c>
      <c r="O4" s="1">
        <v>0.12</v>
      </c>
      <c r="P4">
        <v>19642</v>
      </c>
      <c r="Q4">
        <v>205</v>
      </c>
      <c r="R4">
        <v>5</v>
      </c>
      <c r="S4">
        <v>431</v>
      </c>
      <c r="T4">
        <v>694</v>
      </c>
      <c r="U4">
        <v>1</v>
      </c>
      <c r="V4">
        <v>4618</v>
      </c>
      <c r="W4">
        <v>0</v>
      </c>
      <c r="X4">
        <v>19933</v>
      </c>
      <c r="Y4">
        <v>2219</v>
      </c>
      <c r="Z4">
        <v>103491</v>
      </c>
      <c r="AA4" s="1">
        <v>0.658</v>
      </c>
      <c r="AB4">
        <v>1981</v>
      </c>
      <c r="AC4" s="3">
        <v>0.302777777777778</v>
      </c>
      <c r="AD4">
        <v>1</v>
      </c>
      <c r="AE4">
        <v>3038</v>
      </c>
      <c r="AF4">
        <v>5</v>
      </c>
      <c r="AG4">
        <v>50</v>
      </c>
      <c r="AH4">
        <v>1</v>
      </c>
      <c r="AI4">
        <v>0</v>
      </c>
    </row>
    <row r="5" spans="1:35">
      <c r="A5">
        <v>260509</v>
      </c>
      <c r="B5">
        <v>1</v>
      </c>
      <c r="C5" t="s">
        <v>83</v>
      </c>
      <c r="D5" t="s">
        <v>77</v>
      </c>
      <c r="E5">
        <v>43</v>
      </c>
      <c r="F5" t="s">
        <v>28</v>
      </c>
      <c r="G5">
        <f>VLOOKUP(F5,选手工资!$A:$D,4,FALSE)</f>
        <v>5</v>
      </c>
      <c r="H5" t="s">
        <v>95</v>
      </c>
      <c r="I5">
        <v>4</v>
      </c>
      <c r="J5">
        <v>24</v>
      </c>
      <c r="K5">
        <v>5</v>
      </c>
      <c r="L5">
        <v>7</v>
      </c>
      <c r="M5">
        <v>27</v>
      </c>
      <c r="N5" s="1">
        <v>0.744</v>
      </c>
      <c r="O5" s="1">
        <v>0.139</v>
      </c>
      <c r="P5">
        <v>17355</v>
      </c>
      <c r="Q5">
        <v>81</v>
      </c>
      <c r="R5">
        <v>0</v>
      </c>
      <c r="S5">
        <v>395</v>
      </c>
      <c r="T5">
        <v>652</v>
      </c>
      <c r="U5">
        <v>2</v>
      </c>
      <c r="V5">
        <v>1593</v>
      </c>
      <c r="W5">
        <v>3</v>
      </c>
      <c r="X5">
        <v>23159</v>
      </c>
      <c r="Y5">
        <v>864</v>
      </c>
      <c r="Z5">
        <v>43875</v>
      </c>
      <c r="AA5" s="1">
        <v>0.588</v>
      </c>
      <c r="AB5">
        <v>412</v>
      </c>
      <c r="AC5" s="3">
        <v>0.136111111111111</v>
      </c>
      <c r="AD5">
        <v>6</v>
      </c>
      <c r="AE5">
        <v>1930</v>
      </c>
      <c r="AF5">
        <v>5</v>
      </c>
      <c r="AG5">
        <v>1300</v>
      </c>
      <c r="AH5">
        <v>1</v>
      </c>
      <c r="AI5">
        <v>11</v>
      </c>
    </row>
    <row r="6" spans="1:35">
      <c r="A6">
        <v>260509</v>
      </c>
      <c r="B6">
        <v>1</v>
      </c>
      <c r="C6" t="s">
        <v>83</v>
      </c>
      <c r="D6" t="s">
        <v>77</v>
      </c>
      <c r="E6">
        <v>43</v>
      </c>
      <c r="F6" t="s">
        <v>41</v>
      </c>
      <c r="G6">
        <f>VLOOKUP(F6,选手工资!$A:$D,4,FALSE)</f>
        <v>1.5</v>
      </c>
      <c r="H6" t="s">
        <v>88</v>
      </c>
      <c r="I6">
        <v>5</v>
      </c>
      <c r="J6">
        <v>24</v>
      </c>
      <c r="K6">
        <v>13</v>
      </c>
      <c r="L6">
        <v>6</v>
      </c>
      <c r="M6">
        <v>23</v>
      </c>
      <c r="N6" s="1">
        <v>0.837</v>
      </c>
      <c r="O6" s="1">
        <v>0.149</v>
      </c>
      <c r="P6">
        <v>19340</v>
      </c>
      <c r="Q6">
        <v>61</v>
      </c>
      <c r="R6">
        <v>1</v>
      </c>
      <c r="S6">
        <v>411</v>
      </c>
      <c r="T6">
        <v>637</v>
      </c>
      <c r="U6">
        <v>1</v>
      </c>
      <c r="V6">
        <v>6211</v>
      </c>
      <c r="W6">
        <v>3</v>
      </c>
      <c r="X6">
        <v>24866</v>
      </c>
      <c r="Y6">
        <v>2240</v>
      </c>
      <c r="Z6">
        <v>44936</v>
      </c>
      <c r="AA6" s="1">
        <v>0.498</v>
      </c>
      <c r="AB6">
        <v>741</v>
      </c>
      <c r="AC6" s="3">
        <v>0.147222222222222</v>
      </c>
      <c r="AD6">
        <v>2</v>
      </c>
      <c r="AE6">
        <v>1771</v>
      </c>
      <c r="AF6">
        <v>5</v>
      </c>
      <c r="AG6">
        <v>500</v>
      </c>
      <c r="AH6">
        <v>2</v>
      </c>
      <c r="AI6">
        <v>6</v>
      </c>
    </row>
    <row r="7" spans="1:35">
      <c r="A7">
        <v>260509</v>
      </c>
      <c r="B7">
        <v>1</v>
      </c>
      <c r="C7" t="s">
        <v>76</v>
      </c>
      <c r="D7" t="s">
        <v>84</v>
      </c>
      <c r="E7">
        <v>32</v>
      </c>
      <c r="F7" t="s">
        <v>32</v>
      </c>
      <c r="G7">
        <f>VLOOKUP(F7,选手工资!$A:$D,4,FALSE)</f>
        <v>4.5</v>
      </c>
      <c r="H7" t="s">
        <v>96</v>
      </c>
      <c r="I7">
        <v>2</v>
      </c>
      <c r="J7">
        <v>25</v>
      </c>
      <c r="K7">
        <v>5</v>
      </c>
      <c r="L7">
        <v>5</v>
      </c>
      <c r="M7">
        <v>12</v>
      </c>
      <c r="N7" s="1">
        <v>0.531</v>
      </c>
      <c r="O7" s="1">
        <v>0.226</v>
      </c>
      <c r="P7">
        <v>22140</v>
      </c>
      <c r="Q7">
        <v>338</v>
      </c>
      <c r="R7">
        <v>2</v>
      </c>
      <c r="S7">
        <v>495</v>
      </c>
      <c r="T7">
        <v>709</v>
      </c>
      <c r="U7">
        <v>4</v>
      </c>
      <c r="V7">
        <v>10403</v>
      </c>
      <c r="W7">
        <v>0</v>
      </c>
      <c r="X7">
        <v>34282</v>
      </c>
      <c r="Y7">
        <v>609</v>
      </c>
      <c r="Z7">
        <v>66986</v>
      </c>
      <c r="AA7" s="1">
        <v>0.411</v>
      </c>
      <c r="AB7">
        <v>1799</v>
      </c>
      <c r="AC7" s="3">
        <v>0.190277777777778</v>
      </c>
      <c r="AD7">
        <v>3</v>
      </c>
      <c r="AE7">
        <v>3327</v>
      </c>
      <c r="AF7">
        <v>7</v>
      </c>
      <c r="AG7">
        <v>0</v>
      </c>
      <c r="AH7">
        <v>3</v>
      </c>
      <c r="AI7">
        <v>0</v>
      </c>
    </row>
    <row r="8" spans="1:35">
      <c r="A8">
        <v>260509</v>
      </c>
      <c r="B8">
        <v>1</v>
      </c>
      <c r="C8" t="s">
        <v>76</v>
      </c>
      <c r="D8" t="s">
        <v>84</v>
      </c>
      <c r="E8">
        <v>32</v>
      </c>
      <c r="F8" t="s">
        <v>23</v>
      </c>
      <c r="G8">
        <f>VLOOKUP(F8,选手工资!$A:$D,4,FALSE)</f>
        <v>6</v>
      </c>
      <c r="H8" t="s">
        <v>98</v>
      </c>
      <c r="I8">
        <v>4</v>
      </c>
      <c r="J8">
        <v>19</v>
      </c>
      <c r="K8">
        <v>3</v>
      </c>
      <c r="L8">
        <v>10</v>
      </c>
      <c r="M8">
        <v>20</v>
      </c>
      <c r="N8" s="1">
        <v>0.719</v>
      </c>
      <c r="O8" s="1">
        <v>0.085</v>
      </c>
      <c r="P8">
        <v>11708</v>
      </c>
      <c r="Q8">
        <v>64</v>
      </c>
      <c r="R8">
        <v>5</v>
      </c>
      <c r="S8">
        <v>313</v>
      </c>
      <c r="T8">
        <v>394</v>
      </c>
      <c r="U8">
        <v>4</v>
      </c>
      <c r="V8">
        <v>125</v>
      </c>
      <c r="W8">
        <v>0</v>
      </c>
      <c r="X8">
        <v>12903</v>
      </c>
      <c r="Y8">
        <v>222</v>
      </c>
      <c r="Z8">
        <v>41969</v>
      </c>
      <c r="AA8" s="1">
        <v>0.45</v>
      </c>
      <c r="AB8">
        <v>1178</v>
      </c>
      <c r="AC8" s="3">
        <v>0.313888888888889</v>
      </c>
      <c r="AD8">
        <v>7</v>
      </c>
      <c r="AE8">
        <v>2581</v>
      </c>
      <c r="AF8">
        <v>6</v>
      </c>
      <c r="AG8">
        <v>1600</v>
      </c>
      <c r="AH8">
        <v>2</v>
      </c>
      <c r="AI8">
        <v>11</v>
      </c>
    </row>
    <row r="9" spans="1:35">
      <c r="A9">
        <v>260509</v>
      </c>
      <c r="B9">
        <v>1</v>
      </c>
      <c r="C9" t="s">
        <v>76</v>
      </c>
      <c r="D9" t="s">
        <v>84</v>
      </c>
      <c r="E9">
        <v>32</v>
      </c>
      <c r="F9" t="s">
        <v>29</v>
      </c>
      <c r="G9">
        <f>VLOOKUP(F9,选手工资!$A:$D,4,FALSE)</f>
        <v>4</v>
      </c>
      <c r="H9" t="s">
        <v>152</v>
      </c>
      <c r="I9">
        <v>3</v>
      </c>
      <c r="J9">
        <v>22</v>
      </c>
      <c r="K9">
        <v>7</v>
      </c>
      <c r="L9">
        <v>9</v>
      </c>
      <c r="M9">
        <v>12</v>
      </c>
      <c r="N9" s="1">
        <v>0.594</v>
      </c>
      <c r="O9" s="1">
        <v>0.194</v>
      </c>
      <c r="P9">
        <v>19473</v>
      </c>
      <c r="Q9">
        <v>273</v>
      </c>
      <c r="R9">
        <v>4</v>
      </c>
      <c r="S9">
        <v>439</v>
      </c>
      <c r="T9">
        <v>561</v>
      </c>
      <c r="U9">
        <v>2</v>
      </c>
      <c r="V9">
        <v>0</v>
      </c>
      <c r="W9">
        <v>0</v>
      </c>
      <c r="X9">
        <v>29399</v>
      </c>
      <c r="Y9">
        <v>834</v>
      </c>
      <c r="Z9">
        <v>78429</v>
      </c>
      <c r="AA9" s="1">
        <v>0.495</v>
      </c>
      <c r="AB9">
        <v>2188</v>
      </c>
      <c r="AC9" s="3">
        <v>0.361111111111111</v>
      </c>
      <c r="AD9">
        <v>8</v>
      </c>
      <c r="AE9">
        <v>4713</v>
      </c>
      <c r="AF9">
        <v>7</v>
      </c>
      <c r="AG9">
        <v>50</v>
      </c>
      <c r="AH9">
        <v>0</v>
      </c>
      <c r="AI9">
        <v>1</v>
      </c>
    </row>
    <row r="10" spans="1:35">
      <c r="A10">
        <v>260509</v>
      </c>
      <c r="B10">
        <v>1</v>
      </c>
      <c r="C10" t="s">
        <v>76</v>
      </c>
      <c r="D10" t="s">
        <v>84</v>
      </c>
      <c r="E10">
        <v>32</v>
      </c>
      <c r="F10" t="s">
        <v>17</v>
      </c>
      <c r="G10">
        <f>VLOOKUP(F10,选手工资!$A:$D,4,FALSE)</f>
        <v>7</v>
      </c>
      <c r="H10" t="s">
        <v>111</v>
      </c>
      <c r="I10">
        <v>1</v>
      </c>
      <c r="J10">
        <v>27</v>
      </c>
      <c r="K10">
        <v>14</v>
      </c>
      <c r="L10">
        <v>6</v>
      </c>
      <c r="M10">
        <v>9</v>
      </c>
      <c r="N10" s="1">
        <v>0.719</v>
      </c>
      <c r="O10" s="1">
        <v>0.409</v>
      </c>
      <c r="P10">
        <v>28087</v>
      </c>
      <c r="Q10">
        <v>488</v>
      </c>
      <c r="R10">
        <v>18</v>
      </c>
      <c r="S10">
        <v>682</v>
      </c>
      <c r="T10">
        <v>876</v>
      </c>
      <c r="U10">
        <v>5</v>
      </c>
      <c r="V10">
        <v>0</v>
      </c>
      <c r="W10">
        <v>4</v>
      </c>
      <c r="X10">
        <v>62065</v>
      </c>
      <c r="Y10">
        <v>11533</v>
      </c>
      <c r="Z10">
        <v>88273</v>
      </c>
      <c r="AA10" s="1">
        <v>0.519</v>
      </c>
      <c r="AB10">
        <v>2831</v>
      </c>
      <c r="AC10" s="3">
        <v>0.256944444444444</v>
      </c>
      <c r="AD10">
        <v>10</v>
      </c>
      <c r="AE10">
        <v>4495</v>
      </c>
      <c r="AF10">
        <v>6</v>
      </c>
      <c r="AG10">
        <v>0</v>
      </c>
      <c r="AH10">
        <v>0</v>
      </c>
      <c r="AI10">
        <v>2</v>
      </c>
    </row>
    <row r="11" spans="1:35">
      <c r="A11">
        <v>260509</v>
      </c>
      <c r="B11">
        <v>1</v>
      </c>
      <c r="C11" t="s">
        <v>76</v>
      </c>
      <c r="D11" t="s">
        <v>84</v>
      </c>
      <c r="E11">
        <v>32</v>
      </c>
      <c r="F11" t="s">
        <v>39</v>
      </c>
      <c r="G11">
        <f>VLOOKUP(F11,选手工资!$A:$D,4,FALSE)</f>
        <v>2.5</v>
      </c>
      <c r="H11" t="s">
        <v>153</v>
      </c>
      <c r="I11">
        <v>5</v>
      </c>
      <c r="J11">
        <v>18</v>
      </c>
      <c r="K11">
        <v>3</v>
      </c>
      <c r="L11">
        <v>13</v>
      </c>
      <c r="M11">
        <v>19</v>
      </c>
      <c r="N11" s="1">
        <v>0.688</v>
      </c>
      <c r="O11" s="1">
        <v>0.087</v>
      </c>
      <c r="P11">
        <v>9698</v>
      </c>
      <c r="Q11">
        <v>64</v>
      </c>
      <c r="R11">
        <v>3</v>
      </c>
      <c r="S11">
        <v>278</v>
      </c>
      <c r="T11">
        <v>380</v>
      </c>
      <c r="U11">
        <v>0</v>
      </c>
      <c r="V11">
        <v>0</v>
      </c>
      <c r="W11">
        <v>1</v>
      </c>
      <c r="X11">
        <v>13162</v>
      </c>
      <c r="Y11">
        <v>3968</v>
      </c>
      <c r="Z11">
        <v>41355</v>
      </c>
      <c r="AA11" s="1">
        <v>0.465</v>
      </c>
      <c r="AB11">
        <v>1336</v>
      </c>
      <c r="AC11" s="3">
        <v>0.408333333333333</v>
      </c>
      <c r="AD11">
        <v>4</v>
      </c>
      <c r="AE11">
        <v>1557</v>
      </c>
      <c r="AF11">
        <v>5</v>
      </c>
      <c r="AG11">
        <v>850</v>
      </c>
      <c r="AH11">
        <v>0</v>
      </c>
      <c r="AI11">
        <v>5</v>
      </c>
    </row>
    <row r="14" spans="1:35">
      <c r="A14" t="s">
        <v>90</v>
      </c>
      <c r="B14" s="4">
        <v>8804007353</v>
      </c>
      <c r="C14" s="4"/>
    </row>
    <row r="15" spans="1:35">
      <c r="A15" t="s">
        <v>91</v>
      </c>
      <c r="B15" s="7" t="s">
        <v>154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workbookViewId="0">
      <pane xSplit="8" ySplit="1" topLeftCell="AG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7" max="8" width="10.25" customWidth="1"/>
    <col min="31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260509</v>
      </c>
      <c r="B2">
        <v>2</v>
      </c>
      <c r="C2" t="s">
        <v>83</v>
      </c>
      <c r="D2" t="s">
        <v>84</v>
      </c>
      <c r="E2">
        <v>25</v>
      </c>
      <c r="F2" t="s">
        <v>27</v>
      </c>
      <c r="G2">
        <f>VLOOKUP(F2,选手工资!$A:$D,4,FALSE)</f>
        <v>7.5</v>
      </c>
      <c r="H2" t="s">
        <v>155</v>
      </c>
      <c r="I2">
        <v>2</v>
      </c>
      <c r="J2">
        <v>24</v>
      </c>
      <c r="K2">
        <v>3</v>
      </c>
      <c r="L2">
        <v>13</v>
      </c>
      <c r="M2">
        <v>17</v>
      </c>
      <c r="N2" s="1">
        <v>0.8</v>
      </c>
      <c r="O2" s="1">
        <v>0.262</v>
      </c>
      <c r="P2">
        <v>19769</v>
      </c>
      <c r="Q2">
        <v>322</v>
      </c>
      <c r="R2">
        <v>9</v>
      </c>
      <c r="S2">
        <v>474</v>
      </c>
      <c r="T2">
        <v>712</v>
      </c>
      <c r="U2">
        <v>0</v>
      </c>
      <c r="V2">
        <v>5756</v>
      </c>
      <c r="W2">
        <v>0</v>
      </c>
      <c r="X2">
        <v>32027</v>
      </c>
      <c r="Y2">
        <v>591</v>
      </c>
      <c r="Z2">
        <v>106404</v>
      </c>
      <c r="AA2" s="1">
        <v>0.523</v>
      </c>
      <c r="AB2">
        <v>2885</v>
      </c>
      <c r="AC2" s="3">
        <v>0.476388888888889</v>
      </c>
      <c r="AD2">
        <v>9</v>
      </c>
      <c r="AE2">
        <v>4109</v>
      </c>
      <c r="AF2">
        <v>8</v>
      </c>
      <c r="AG2">
        <v>100</v>
      </c>
      <c r="AH2">
        <v>2</v>
      </c>
      <c r="AI2">
        <v>2</v>
      </c>
    </row>
    <row r="3" spans="1:35">
      <c r="A3">
        <v>260509</v>
      </c>
      <c r="B3">
        <v>2</v>
      </c>
      <c r="C3" t="s">
        <v>83</v>
      </c>
      <c r="D3" t="s">
        <v>84</v>
      </c>
      <c r="E3">
        <v>25</v>
      </c>
      <c r="F3" t="s">
        <v>36</v>
      </c>
      <c r="G3">
        <f>VLOOKUP(F3,选手工资!$A:$D,4,FALSE)</f>
        <v>3</v>
      </c>
      <c r="H3" t="s">
        <v>87</v>
      </c>
      <c r="I3">
        <v>3</v>
      </c>
      <c r="J3">
        <v>22</v>
      </c>
      <c r="K3">
        <v>3</v>
      </c>
      <c r="L3">
        <v>7</v>
      </c>
      <c r="M3">
        <v>4</v>
      </c>
      <c r="N3" s="1">
        <v>0.28</v>
      </c>
      <c r="O3" s="1">
        <v>0.171</v>
      </c>
      <c r="P3">
        <v>17908</v>
      </c>
      <c r="Q3">
        <v>319</v>
      </c>
      <c r="R3">
        <v>12</v>
      </c>
      <c r="S3">
        <v>425</v>
      </c>
      <c r="T3">
        <v>588</v>
      </c>
      <c r="U3">
        <v>1</v>
      </c>
      <c r="V3">
        <v>2127</v>
      </c>
      <c r="W3">
        <v>1</v>
      </c>
      <c r="X3">
        <v>20909</v>
      </c>
      <c r="Y3">
        <v>434</v>
      </c>
      <c r="Z3">
        <v>63778</v>
      </c>
      <c r="AA3" s="1">
        <v>0.471</v>
      </c>
      <c r="AB3">
        <v>2331</v>
      </c>
      <c r="AC3" s="3">
        <v>0.294444444444444</v>
      </c>
      <c r="AD3">
        <v>6</v>
      </c>
      <c r="AE3">
        <v>3773</v>
      </c>
      <c r="AF3">
        <v>6</v>
      </c>
      <c r="AG3">
        <v>0</v>
      </c>
      <c r="AH3">
        <v>1</v>
      </c>
      <c r="AI3">
        <v>1</v>
      </c>
    </row>
    <row r="4" spans="1:35">
      <c r="A4">
        <v>260509</v>
      </c>
      <c r="B4">
        <v>2</v>
      </c>
      <c r="C4" t="s">
        <v>83</v>
      </c>
      <c r="D4" t="s">
        <v>84</v>
      </c>
      <c r="E4">
        <v>25</v>
      </c>
      <c r="F4" t="s">
        <v>32</v>
      </c>
      <c r="G4">
        <f>VLOOKUP(F4,选手工资!$A:$D,4,FALSE)</f>
        <v>4.5</v>
      </c>
      <c r="H4" t="s">
        <v>156</v>
      </c>
      <c r="I4">
        <v>1</v>
      </c>
      <c r="J4">
        <v>24</v>
      </c>
      <c r="K4">
        <v>9</v>
      </c>
      <c r="L4">
        <v>11</v>
      </c>
      <c r="M4">
        <v>8</v>
      </c>
      <c r="N4" s="1">
        <v>0.68</v>
      </c>
      <c r="O4" s="1">
        <v>0.265</v>
      </c>
      <c r="P4">
        <v>21996</v>
      </c>
      <c r="Q4">
        <v>400</v>
      </c>
      <c r="R4">
        <v>11</v>
      </c>
      <c r="S4">
        <v>560</v>
      </c>
      <c r="T4">
        <v>719</v>
      </c>
      <c r="U4">
        <v>3</v>
      </c>
      <c r="V4">
        <v>0</v>
      </c>
      <c r="W4">
        <v>0</v>
      </c>
      <c r="X4">
        <v>32406</v>
      </c>
      <c r="Y4">
        <v>718</v>
      </c>
      <c r="Z4">
        <v>48122</v>
      </c>
      <c r="AA4" s="1">
        <v>0.474</v>
      </c>
      <c r="AB4">
        <v>2153</v>
      </c>
      <c r="AC4" s="3">
        <v>0.390972222222222</v>
      </c>
      <c r="AD4">
        <v>2</v>
      </c>
      <c r="AE4">
        <v>3697</v>
      </c>
      <c r="AF4">
        <v>6</v>
      </c>
      <c r="AG4">
        <v>0</v>
      </c>
      <c r="AH4">
        <v>4</v>
      </c>
      <c r="AI4">
        <v>0</v>
      </c>
    </row>
    <row r="5" spans="1:35">
      <c r="A5">
        <v>260509</v>
      </c>
      <c r="B5">
        <v>2</v>
      </c>
      <c r="C5" t="s">
        <v>83</v>
      </c>
      <c r="D5" t="s">
        <v>84</v>
      </c>
      <c r="E5">
        <v>25</v>
      </c>
      <c r="F5" t="s">
        <v>28</v>
      </c>
      <c r="G5">
        <f>VLOOKUP(F5,选手工资!$A:$D,4,FALSE)</f>
        <v>5</v>
      </c>
      <c r="H5" t="s">
        <v>157</v>
      </c>
      <c r="I5">
        <v>4</v>
      </c>
      <c r="J5">
        <v>24</v>
      </c>
      <c r="K5">
        <v>8</v>
      </c>
      <c r="L5">
        <v>11</v>
      </c>
      <c r="M5">
        <v>9</v>
      </c>
      <c r="N5" s="1">
        <v>0.68</v>
      </c>
      <c r="O5" s="1">
        <v>0.194</v>
      </c>
      <c r="P5">
        <v>13938</v>
      </c>
      <c r="Q5">
        <v>141</v>
      </c>
      <c r="R5">
        <v>14</v>
      </c>
      <c r="S5">
        <v>382</v>
      </c>
      <c r="T5">
        <v>667</v>
      </c>
      <c r="U5">
        <v>3</v>
      </c>
      <c r="V5">
        <v>0</v>
      </c>
      <c r="W5">
        <v>0</v>
      </c>
      <c r="X5">
        <v>23700</v>
      </c>
      <c r="Y5">
        <v>1553</v>
      </c>
      <c r="Z5">
        <v>42098</v>
      </c>
      <c r="AA5" s="1">
        <v>0.391</v>
      </c>
      <c r="AB5">
        <v>1892</v>
      </c>
      <c r="AC5" s="3">
        <v>0.376388888888889</v>
      </c>
      <c r="AD5">
        <v>5</v>
      </c>
      <c r="AE5">
        <v>2524</v>
      </c>
      <c r="AF5">
        <v>5</v>
      </c>
      <c r="AG5">
        <v>250</v>
      </c>
      <c r="AH5">
        <v>2</v>
      </c>
      <c r="AI5">
        <v>5</v>
      </c>
    </row>
    <row r="6" spans="1:35">
      <c r="A6">
        <v>260509</v>
      </c>
      <c r="B6">
        <v>2</v>
      </c>
      <c r="C6" t="s">
        <v>83</v>
      </c>
      <c r="D6" t="s">
        <v>84</v>
      </c>
      <c r="E6">
        <v>25</v>
      </c>
      <c r="F6" t="s">
        <v>30</v>
      </c>
      <c r="G6">
        <f>VLOOKUP(F6,选手工资!$A:$D,4,FALSE)</f>
        <v>6.5</v>
      </c>
      <c r="H6" t="s">
        <v>158</v>
      </c>
      <c r="I6">
        <v>5</v>
      </c>
      <c r="J6">
        <v>23</v>
      </c>
      <c r="K6">
        <v>2</v>
      </c>
      <c r="L6">
        <v>9</v>
      </c>
      <c r="M6">
        <v>20</v>
      </c>
      <c r="N6" s="1">
        <v>0.88</v>
      </c>
      <c r="O6" s="1">
        <v>0.109</v>
      </c>
      <c r="P6">
        <v>12574</v>
      </c>
      <c r="Q6">
        <v>122</v>
      </c>
      <c r="R6">
        <v>2</v>
      </c>
      <c r="S6">
        <v>343</v>
      </c>
      <c r="T6">
        <v>640</v>
      </c>
      <c r="U6">
        <v>3</v>
      </c>
      <c r="V6">
        <v>393</v>
      </c>
      <c r="W6">
        <v>1</v>
      </c>
      <c r="X6">
        <v>13276</v>
      </c>
      <c r="Y6">
        <v>0</v>
      </c>
      <c r="Z6">
        <v>32935</v>
      </c>
      <c r="AA6" s="1">
        <v>0.509</v>
      </c>
      <c r="AB6">
        <v>1272</v>
      </c>
      <c r="AC6" s="3">
        <v>0.220833333333333</v>
      </c>
      <c r="AD6">
        <v>1</v>
      </c>
      <c r="AE6">
        <v>2343</v>
      </c>
      <c r="AF6">
        <v>5</v>
      </c>
      <c r="AG6">
        <v>1400</v>
      </c>
      <c r="AH6">
        <v>4</v>
      </c>
      <c r="AI6">
        <v>16</v>
      </c>
    </row>
    <row r="7" spans="1:35">
      <c r="A7">
        <v>260509</v>
      </c>
      <c r="B7">
        <v>2</v>
      </c>
      <c r="C7" t="s">
        <v>76</v>
      </c>
      <c r="D7" t="s">
        <v>77</v>
      </c>
      <c r="E7">
        <v>50</v>
      </c>
      <c r="F7" t="s">
        <v>15</v>
      </c>
      <c r="G7">
        <f>VLOOKUP(F7,选手工资!$A:$D,4,FALSE)</f>
        <v>8.5</v>
      </c>
      <c r="H7" t="s">
        <v>117</v>
      </c>
      <c r="I7">
        <v>2</v>
      </c>
      <c r="J7">
        <v>29</v>
      </c>
      <c r="K7">
        <v>13</v>
      </c>
      <c r="L7">
        <v>2</v>
      </c>
      <c r="M7">
        <v>23</v>
      </c>
      <c r="N7" s="1">
        <v>0.72</v>
      </c>
      <c r="O7" s="1">
        <v>0.358</v>
      </c>
      <c r="P7">
        <v>36609</v>
      </c>
      <c r="Q7">
        <v>516</v>
      </c>
      <c r="R7">
        <v>15</v>
      </c>
      <c r="S7">
        <v>818</v>
      </c>
      <c r="T7">
        <v>1197</v>
      </c>
      <c r="U7">
        <v>3</v>
      </c>
      <c r="V7">
        <v>0</v>
      </c>
      <c r="W7">
        <v>0</v>
      </c>
      <c r="X7">
        <v>54262</v>
      </c>
      <c r="Y7">
        <v>5325</v>
      </c>
      <c r="Z7">
        <v>54992</v>
      </c>
      <c r="AA7" s="1">
        <v>0.521</v>
      </c>
      <c r="AB7">
        <v>676</v>
      </c>
      <c r="AC7" s="3">
        <v>0.0847222222222222</v>
      </c>
      <c r="AD7">
        <v>10</v>
      </c>
      <c r="AE7">
        <v>4818</v>
      </c>
      <c r="AF7">
        <v>9</v>
      </c>
      <c r="AG7">
        <v>50</v>
      </c>
      <c r="AH7">
        <v>1</v>
      </c>
      <c r="AI7">
        <v>1</v>
      </c>
    </row>
    <row r="8" spans="1:35">
      <c r="A8">
        <v>260509</v>
      </c>
      <c r="B8">
        <v>2</v>
      </c>
      <c r="C8" t="s">
        <v>76</v>
      </c>
      <c r="D8" t="s">
        <v>77</v>
      </c>
      <c r="E8">
        <v>50</v>
      </c>
      <c r="F8" t="s">
        <v>29</v>
      </c>
      <c r="G8">
        <f>VLOOKUP(F8,选手工资!$A:$D,4,FALSE)</f>
        <v>4</v>
      </c>
      <c r="H8" t="s">
        <v>159</v>
      </c>
      <c r="I8">
        <v>3</v>
      </c>
      <c r="J8">
        <v>26</v>
      </c>
      <c r="K8">
        <v>10</v>
      </c>
      <c r="L8">
        <v>9</v>
      </c>
      <c r="M8">
        <v>20</v>
      </c>
      <c r="N8" s="1">
        <v>0.6</v>
      </c>
      <c r="O8" s="1">
        <v>0.211</v>
      </c>
      <c r="P8">
        <v>19776</v>
      </c>
      <c r="Q8">
        <v>294</v>
      </c>
      <c r="R8">
        <v>2</v>
      </c>
      <c r="S8">
        <v>542</v>
      </c>
      <c r="T8">
        <v>851</v>
      </c>
      <c r="U8">
        <v>5</v>
      </c>
      <c r="V8">
        <v>0</v>
      </c>
      <c r="W8">
        <v>0</v>
      </c>
      <c r="X8">
        <v>31944</v>
      </c>
      <c r="Y8">
        <v>3167</v>
      </c>
      <c r="Z8">
        <v>58730</v>
      </c>
      <c r="AA8" s="1">
        <v>0.419</v>
      </c>
      <c r="AB8">
        <v>2530</v>
      </c>
      <c r="AC8" s="3">
        <v>0.305555555555556</v>
      </c>
      <c r="AD8">
        <v>7</v>
      </c>
      <c r="AE8">
        <v>3771</v>
      </c>
      <c r="AF8">
        <v>7</v>
      </c>
      <c r="AG8">
        <v>130</v>
      </c>
      <c r="AH8">
        <v>0</v>
      </c>
      <c r="AI8">
        <v>0</v>
      </c>
    </row>
    <row r="9" spans="1:35">
      <c r="A9">
        <v>260509</v>
      </c>
      <c r="B9">
        <v>2</v>
      </c>
      <c r="C9" t="s">
        <v>76</v>
      </c>
      <c r="D9" t="s">
        <v>77</v>
      </c>
      <c r="E9">
        <v>50</v>
      </c>
      <c r="F9" t="s">
        <v>17</v>
      </c>
      <c r="G9">
        <f>VLOOKUP(F9,选手工资!$A:$D,4,FALSE)</f>
        <v>7</v>
      </c>
      <c r="H9" t="s">
        <v>118</v>
      </c>
      <c r="I9">
        <v>1</v>
      </c>
      <c r="J9">
        <v>28</v>
      </c>
      <c r="K9">
        <v>14</v>
      </c>
      <c r="L9">
        <v>3</v>
      </c>
      <c r="M9">
        <v>19</v>
      </c>
      <c r="N9" s="1">
        <v>0.66</v>
      </c>
      <c r="O9" s="1">
        <v>0.221</v>
      </c>
      <c r="P9">
        <v>33574</v>
      </c>
      <c r="Q9">
        <v>431</v>
      </c>
      <c r="R9">
        <v>11</v>
      </c>
      <c r="S9">
        <v>746</v>
      </c>
      <c r="T9">
        <v>1098</v>
      </c>
      <c r="U9">
        <v>4</v>
      </c>
      <c r="V9">
        <v>0</v>
      </c>
      <c r="W9">
        <v>1</v>
      </c>
      <c r="X9">
        <v>33476</v>
      </c>
      <c r="Y9">
        <v>10200</v>
      </c>
      <c r="Z9">
        <v>53316</v>
      </c>
      <c r="AA9" s="1">
        <v>0.435</v>
      </c>
      <c r="AB9">
        <v>1334</v>
      </c>
      <c r="AC9" s="3">
        <v>0.140972222222222</v>
      </c>
      <c r="AD9">
        <v>8</v>
      </c>
      <c r="AE9">
        <v>3480</v>
      </c>
      <c r="AF9">
        <v>6</v>
      </c>
      <c r="AG9">
        <v>200</v>
      </c>
      <c r="AH9">
        <v>1</v>
      </c>
      <c r="AI9">
        <v>6</v>
      </c>
    </row>
    <row r="10" spans="1:35">
      <c r="A10">
        <v>260509</v>
      </c>
      <c r="B10">
        <v>2</v>
      </c>
      <c r="C10" t="s">
        <v>76</v>
      </c>
      <c r="D10" t="s">
        <v>77</v>
      </c>
      <c r="E10">
        <v>50</v>
      </c>
      <c r="F10" t="s">
        <v>22</v>
      </c>
      <c r="G10">
        <f>VLOOKUP(F10,选手工资!$A:$D,4,FALSE)</f>
        <v>5.5</v>
      </c>
      <c r="H10" t="s">
        <v>95</v>
      </c>
      <c r="I10">
        <v>4</v>
      </c>
      <c r="J10">
        <v>26</v>
      </c>
      <c r="K10">
        <v>10</v>
      </c>
      <c r="L10">
        <v>8</v>
      </c>
      <c r="M10">
        <v>30</v>
      </c>
      <c r="N10" s="1">
        <v>0.8</v>
      </c>
      <c r="O10" s="1">
        <v>0.124</v>
      </c>
      <c r="P10">
        <v>20560</v>
      </c>
      <c r="Q10">
        <v>176</v>
      </c>
      <c r="R10">
        <v>0</v>
      </c>
      <c r="S10">
        <v>469</v>
      </c>
      <c r="T10">
        <v>895</v>
      </c>
      <c r="U10">
        <v>3</v>
      </c>
      <c r="V10">
        <v>0</v>
      </c>
      <c r="W10">
        <v>3</v>
      </c>
      <c r="X10">
        <v>18815</v>
      </c>
      <c r="Y10">
        <v>4384</v>
      </c>
      <c r="Z10">
        <v>26596</v>
      </c>
      <c r="AA10" s="1">
        <v>0.441</v>
      </c>
      <c r="AB10">
        <v>1317</v>
      </c>
      <c r="AC10" s="3">
        <v>0.247916666666667</v>
      </c>
      <c r="AD10">
        <v>3</v>
      </c>
      <c r="AE10">
        <v>2560</v>
      </c>
      <c r="AF10">
        <v>5</v>
      </c>
      <c r="AG10">
        <v>480</v>
      </c>
      <c r="AH10">
        <v>0</v>
      </c>
      <c r="AI10">
        <v>5</v>
      </c>
    </row>
    <row r="11" spans="1:35">
      <c r="A11">
        <v>260509</v>
      </c>
      <c r="B11">
        <v>2</v>
      </c>
      <c r="C11" t="s">
        <v>76</v>
      </c>
      <c r="D11" t="s">
        <v>77</v>
      </c>
      <c r="E11">
        <v>50</v>
      </c>
      <c r="F11" t="s">
        <v>41</v>
      </c>
      <c r="G11">
        <f>VLOOKUP(F11,选手工资!$A:$D,4,FALSE)</f>
        <v>1.5</v>
      </c>
      <c r="H11" t="s">
        <v>112</v>
      </c>
      <c r="I11">
        <v>5</v>
      </c>
      <c r="J11">
        <v>24</v>
      </c>
      <c r="K11">
        <v>3</v>
      </c>
      <c r="L11">
        <v>3</v>
      </c>
      <c r="M11">
        <v>21</v>
      </c>
      <c r="N11" s="1">
        <v>0.48</v>
      </c>
      <c r="O11" s="1">
        <v>0.087</v>
      </c>
      <c r="P11">
        <v>14684</v>
      </c>
      <c r="Q11">
        <v>59</v>
      </c>
      <c r="R11">
        <v>1</v>
      </c>
      <c r="S11">
        <v>355</v>
      </c>
      <c r="T11">
        <v>697</v>
      </c>
      <c r="U11">
        <v>1</v>
      </c>
      <c r="V11">
        <v>0</v>
      </c>
      <c r="W11">
        <v>1</v>
      </c>
      <c r="X11">
        <v>13139</v>
      </c>
      <c r="Y11">
        <v>1626</v>
      </c>
      <c r="Z11">
        <v>24620</v>
      </c>
      <c r="AA11" s="1">
        <v>0.384</v>
      </c>
      <c r="AB11">
        <v>479</v>
      </c>
      <c r="AC11" s="3">
        <v>0.0979166666666667</v>
      </c>
      <c r="AD11">
        <v>4</v>
      </c>
      <c r="AE11">
        <v>1891</v>
      </c>
      <c r="AF11">
        <v>5</v>
      </c>
      <c r="AG11">
        <v>2030</v>
      </c>
      <c r="AH11">
        <v>2</v>
      </c>
      <c r="AI11">
        <v>12</v>
      </c>
    </row>
    <row r="13" spans="1:35">
      <c r="A13" t="s">
        <v>90</v>
      </c>
      <c r="B13" s="4">
        <v>8804102504</v>
      </c>
      <c r="C13" s="4"/>
    </row>
    <row r="14" spans="1:35">
      <c r="A14" t="s">
        <v>91</v>
      </c>
      <c r="B14" s="7" t="s">
        <v>160</v>
      </c>
    </row>
  </sheetData>
  <sortState ref="A2:AI11">
    <sortCondition ref="C2"/>
  </sortState>
  <mergeCells count="1">
    <mergeCell ref="B13:C1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T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6" max="6" width="12.875"/>
    <col min="7" max="7" width="10.25" customWidth="1"/>
    <col min="8" max="8" width="12.875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260509</v>
      </c>
      <c r="B2">
        <v>3</v>
      </c>
      <c r="C2" t="s">
        <v>76</v>
      </c>
      <c r="D2" t="s">
        <v>77</v>
      </c>
      <c r="E2">
        <v>51</v>
      </c>
      <c r="F2" t="s">
        <v>17</v>
      </c>
      <c r="G2">
        <f>VLOOKUP(F2,选手工资!$A:$D,4,FALSE)</f>
        <v>7</v>
      </c>
      <c r="H2" t="s">
        <v>144</v>
      </c>
      <c r="I2">
        <v>2</v>
      </c>
      <c r="J2">
        <v>30</v>
      </c>
      <c r="K2">
        <v>18</v>
      </c>
      <c r="L2">
        <v>2</v>
      </c>
      <c r="M2">
        <v>23</v>
      </c>
      <c r="N2" s="1">
        <v>0.804</v>
      </c>
      <c r="O2" s="1">
        <v>0.396</v>
      </c>
      <c r="P2">
        <v>42743</v>
      </c>
      <c r="Q2">
        <v>463</v>
      </c>
      <c r="R2">
        <v>9</v>
      </c>
      <c r="S2">
        <v>784</v>
      </c>
      <c r="T2">
        <v>1179</v>
      </c>
      <c r="U2">
        <v>6</v>
      </c>
      <c r="V2">
        <v>0</v>
      </c>
      <c r="W2">
        <v>0</v>
      </c>
      <c r="X2">
        <v>72142</v>
      </c>
      <c r="Y2">
        <v>3866</v>
      </c>
      <c r="Z2">
        <v>39157</v>
      </c>
      <c r="AA2" s="1">
        <v>0.409</v>
      </c>
      <c r="AB2">
        <v>748</v>
      </c>
      <c r="AC2" s="3">
        <v>0.0840277777777778</v>
      </c>
      <c r="AD2">
        <v>10</v>
      </c>
      <c r="AE2">
        <v>4888</v>
      </c>
      <c r="AF2">
        <v>9</v>
      </c>
      <c r="AG2">
        <v>0</v>
      </c>
      <c r="AH2">
        <v>0</v>
      </c>
      <c r="AI2">
        <v>16</v>
      </c>
    </row>
    <row r="3" spans="1:35">
      <c r="A3">
        <v>260509</v>
      </c>
      <c r="B3">
        <v>3</v>
      </c>
      <c r="C3" t="s">
        <v>83</v>
      </c>
      <c r="D3" t="s">
        <v>84</v>
      </c>
      <c r="E3">
        <v>42</v>
      </c>
      <c r="F3" t="s">
        <v>19</v>
      </c>
      <c r="G3">
        <f>VLOOKUP(F3,选手工资!$A:$D,4,FALSE)</f>
        <v>8.5</v>
      </c>
      <c r="H3" t="s">
        <v>101</v>
      </c>
      <c r="I3">
        <v>2</v>
      </c>
      <c r="J3">
        <v>27</v>
      </c>
      <c r="K3">
        <v>8</v>
      </c>
      <c r="L3">
        <v>12</v>
      </c>
      <c r="M3">
        <v>21</v>
      </c>
      <c r="N3" s="1">
        <v>0.69</v>
      </c>
      <c r="O3" s="1">
        <v>0.253</v>
      </c>
      <c r="P3">
        <v>22010</v>
      </c>
      <c r="Q3">
        <v>385</v>
      </c>
      <c r="R3">
        <v>2</v>
      </c>
      <c r="S3">
        <v>529</v>
      </c>
      <c r="T3">
        <v>786</v>
      </c>
      <c r="U3">
        <v>4</v>
      </c>
      <c r="V3">
        <v>0</v>
      </c>
      <c r="W3">
        <v>0</v>
      </c>
      <c r="X3">
        <v>38582</v>
      </c>
      <c r="Y3">
        <v>12</v>
      </c>
      <c r="Z3">
        <v>81431</v>
      </c>
      <c r="AA3" s="1">
        <v>0.48</v>
      </c>
      <c r="AB3">
        <v>4616</v>
      </c>
      <c r="AC3" s="3">
        <v>0.527777777777778</v>
      </c>
      <c r="AD3">
        <v>9</v>
      </c>
      <c r="AE3">
        <v>3351</v>
      </c>
      <c r="AF3">
        <v>8</v>
      </c>
      <c r="AG3">
        <v>150</v>
      </c>
      <c r="AH3">
        <v>4</v>
      </c>
      <c r="AI3">
        <v>1</v>
      </c>
    </row>
    <row r="4" spans="1:35">
      <c r="A4">
        <v>260509</v>
      </c>
      <c r="B4">
        <v>3</v>
      </c>
      <c r="C4" t="s">
        <v>83</v>
      </c>
      <c r="D4" t="s">
        <v>84</v>
      </c>
      <c r="E4">
        <v>42</v>
      </c>
      <c r="F4" t="s">
        <v>25</v>
      </c>
      <c r="G4">
        <f>VLOOKUP(F4,选手工资!$A:$D,4,FALSE)</f>
        <v>7</v>
      </c>
      <c r="H4" t="s">
        <v>161</v>
      </c>
      <c r="I4">
        <v>1</v>
      </c>
      <c r="J4">
        <v>27</v>
      </c>
      <c r="K4">
        <v>13</v>
      </c>
      <c r="L4">
        <v>10</v>
      </c>
      <c r="M4">
        <v>18</v>
      </c>
      <c r="N4" s="1">
        <v>0.738</v>
      </c>
      <c r="O4" s="1">
        <v>0.282</v>
      </c>
      <c r="P4">
        <v>30039</v>
      </c>
      <c r="Q4">
        <v>578</v>
      </c>
      <c r="R4">
        <v>13</v>
      </c>
      <c r="S4">
        <v>652</v>
      </c>
      <c r="T4">
        <v>850</v>
      </c>
      <c r="U4">
        <v>1</v>
      </c>
      <c r="V4">
        <v>0</v>
      </c>
      <c r="W4">
        <v>0</v>
      </c>
      <c r="X4">
        <v>42895</v>
      </c>
      <c r="Y4">
        <v>0</v>
      </c>
      <c r="Z4">
        <v>77072</v>
      </c>
      <c r="AA4" s="1">
        <v>0.431</v>
      </c>
      <c r="AB4">
        <v>4113</v>
      </c>
      <c r="AC4" s="3">
        <v>0.35</v>
      </c>
      <c r="AD4">
        <v>5</v>
      </c>
      <c r="AE4">
        <v>4037</v>
      </c>
      <c r="AF4">
        <v>7</v>
      </c>
      <c r="AG4">
        <v>240</v>
      </c>
      <c r="AH4">
        <v>4</v>
      </c>
      <c r="AI4">
        <v>2</v>
      </c>
    </row>
    <row r="5" spans="1:35">
      <c r="A5">
        <v>260509</v>
      </c>
      <c r="B5">
        <v>3</v>
      </c>
      <c r="C5" t="s">
        <v>76</v>
      </c>
      <c r="D5" t="s">
        <v>77</v>
      </c>
      <c r="E5">
        <v>51</v>
      </c>
      <c r="F5" t="s">
        <v>32</v>
      </c>
      <c r="G5">
        <f>VLOOKUP(F5,选手工资!$A:$D,4,FALSE)</f>
        <v>4.5</v>
      </c>
      <c r="H5" t="s">
        <v>156</v>
      </c>
      <c r="I5">
        <v>1</v>
      </c>
      <c r="J5">
        <v>29</v>
      </c>
      <c r="K5">
        <v>13</v>
      </c>
      <c r="L5">
        <v>7</v>
      </c>
      <c r="M5">
        <v>18</v>
      </c>
      <c r="N5" s="1">
        <v>0.608</v>
      </c>
      <c r="O5" s="1">
        <v>0.206</v>
      </c>
      <c r="P5">
        <v>39533</v>
      </c>
      <c r="Q5">
        <v>546</v>
      </c>
      <c r="R5">
        <v>13</v>
      </c>
      <c r="S5">
        <v>721</v>
      </c>
      <c r="T5">
        <v>1015</v>
      </c>
      <c r="U5">
        <v>3</v>
      </c>
      <c r="V5">
        <v>0</v>
      </c>
      <c r="W5">
        <v>0</v>
      </c>
      <c r="X5">
        <v>37435</v>
      </c>
      <c r="Y5">
        <v>17539</v>
      </c>
      <c r="Z5">
        <v>49531</v>
      </c>
      <c r="AA5" s="1">
        <v>0.482</v>
      </c>
      <c r="AB5">
        <v>2692</v>
      </c>
      <c r="AC5" s="3">
        <v>0.34375</v>
      </c>
      <c r="AD5">
        <v>7</v>
      </c>
      <c r="AE5">
        <v>3629</v>
      </c>
      <c r="AF5">
        <v>6</v>
      </c>
      <c r="AG5">
        <v>0</v>
      </c>
      <c r="AH5">
        <v>2</v>
      </c>
      <c r="AI5">
        <v>0</v>
      </c>
    </row>
    <row r="6" spans="1:35">
      <c r="A6">
        <v>260509</v>
      </c>
      <c r="B6">
        <v>3</v>
      </c>
      <c r="C6" t="s">
        <v>76</v>
      </c>
      <c r="D6" t="s">
        <v>77</v>
      </c>
      <c r="E6">
        <v>51</v>
      </c>
      <c r="F6" t="s">
        <v>22</v>
      </c>
      <c r="G6">
        <f>VLOOKUP(F6,选手工资!$A:$D,4,FALSE)</f>
        <v>5.5</v>
      </c>
      <c r="H6" t="s">
        <v>152</v>
      </c>
      <c r="I6">
        <v>3</v>
      </c>
      <c r="J6">
        <v>27</v>
      </c>
      <c r="K6">
        <v>8</v>
      </c>
      <c r="L6">
        <v>13</v>
      </c>
      <c r="M6">
        <v>22</v>
      </c>
      <c r="N6" s="1">
        <v>0.588</v>
      </c>
      <c r="O6" s="1">
        <v>0.185</v>
      </c>
      <c r="P6">
        <v>24823</v>
      </c>
      <c r="Q6">
        <v>270</v>
      </c>
      <c r="R6">
        <v>4</v>
      </c>
      <c r="S6">
        <v>495</v>
      </c>
      <c r="T6">
        <v>836</v>
      </c>
      <c r="U6">
        <v>3</v>
      </c>
      <c r="V6">
        <v>0</v>
      </c>
      <c r="W6">
        <v>1</v>
      </c>
      <c r="X6">
        <v>33697</v>
      </c>
      <c r="Y6">
        <v>155</v>
      </c>
      <c r="Z6">
        <v>101700</v>
      </c>
      <c r="AA6" s="1">
        <v>0.622</v>
      </c>
      <c r="AB6">
        <v>2900</v>
      </c>
      <c r="AC6" s="3">
        <v>0.463888888888889</v>
      </c>
      <c r="AD6">
        <v>8</v>
      </c>
      <c r="AE6">
        <v>3480</v>
      </c>
      <c r="AF6">
        <v>6</v>
      </c>
      <c r="AG6">
        <v>0</v>
      </c>
      <c r="AH6">
        <v>1</v>
      </c>
      <c r="AI6">
        <v>2</v>
      </c>
    </row>
    <row r="7" spans="1:35">
      <c r="A7">
        <v>260509</v>
      </c>
      <c r="B7">
        <v>3</v>
      </c>
      <c r="C7" t="s">
        <v>83</v>
      </c>
      <c r="D7" t="s">
        <v>84</v>
      </c>
      <c r="E7">
        <v>42</v>
      </c>
      <c r="F7" t="s">
        <v>30</v>
      </c>
      <c r="G7">
        <f>VLOOKUP(F7,选手工资!$A:$D,4,FALSE)</f>
        <v>6.5</v>
      </c>
      <c r="H7" t="s">
        <v>129</v>
      </c>
      <c r="I7">
        <v>3</v>
      </c>
      <c r="J7">
        <v>27</v>
      </c>
      <c r="K7">
        <v>14</v>
      </c>
      <c r="L7">
        <v>11</v>
      </c>
      <c r="M7">
        <v>19</v>
      </c>
      <c r="N7" s="1">
        <v>0.786</v>
      </c>
      <c r="O7" s="1">
        <v>0.296</v>
      </c>
      <c r="P7">
        <v>22606</v>
      </c>
      <c r="Q7">
        <v>348</v>
      </c>
      <c r="R7">
        <v>8</v>
      </c>
      <c r="S7">
        <v>527</v>
      </c>
      <c r="T7">
        <v>873</v>
      </c>
      <c r="U7">
        <v>2</v>
      </c>
      <c r="V7">
        <v>0</v>
      </c>
      <c r="W7">
        <v>0</v>
      </c>
      <c r="X7">
        <v>45099</v>
      </c>
      <c r="Y7">
        <v>1330</v>
      </c>
      <c r="Z7">
        <v>123999</v>
      </c>
      <c r="AA7" s="1">
        <v>0.581</v>
      </c>
      <c r="AB7">
        <v>3835</v>
      </c>
      <c r="AC7" s="3">
        <v>0.399305555555556</v>
      </c>
      <c r="AD7">
        <v>2</v>
      </c>
      <c r="AE7">
        <v>3242</v>
      </c>
      <c r="AF7">
        <v>6</v>
      </c>
      <c r="AG7">
        <v>100</v>
      </c>
      <c r="AH7">
        <v>1</v>
      </c>
      <c r="AI7">
        <v>1</v>
      </c>
    </row>
    <row r="8" spans="1:35">
      <c r="A8">
        <v>260509</v>
      </c>
      <c r="B8">
        <v>3</v>
      </c>
      <c r="C8" t="s">
        <v>76</v>
      </c>
      <c r="D8" t="s">
        <v>77</v>
      </c>
      <c r="E8">
        <v>51</v>
      </c>
      <c r="F8" t="s">
        <v>27</v>
      </c>
      <c r="G8">
        <f>VLOOKUP(F8,选手工资!$A:$D,4,FALSE)</f>
        <v>7.5</v>
      </c>
      <c r="H8" t="s">
        <v>123</v>
      </c>
      <c r="I8">
        <v>5</v>
      </c>
      <c r="J8">
        <v>28</v>
      </c>
      <c r="K8">
        <v>8</v>
      </c>
      <c r="L8">
        <v>9</v>
      </c>
      <c r="M8">
        <v>27</v>
      </c>
      <c r="N8" s="1">
        <v>0.686</v>
      </c>
      <c r="O8" s="1">
        <v>0.097</v>
      </c>
      <c r="P8">
        <v>17141</v>
      </c>
      <c r="Q8">
        <v>64</v>
      </c>
      <c r="R8">
        <v>5</v>
      </c>
      <c r="S8">
        <v>391</v>
      </c>
      <c r="T8">
        <v>885</v>
      </c>
      <c r="U8">
        <v>7</v>
      </c>
      <c r="V8">
        <v>0</v>
      </c>
      <c r="W8">
        <v>0</v>
      </c>
      <c r="X8">
        <v>17728</v>
      </c>
      <c r="Y8">
        <v>1832</v>
      </c>
      <c r="Z8">
        <v>52042</v>
      </c>
      <c r="AA8" s="1">
        <v>0.435</v>
      </c>
      <c r="AB8">
        <v>1591</v>
      </c>
      <c r="AC8" s="3">
        <v>0.253472222222222</v>
      </c>
      <c r="AD8">
        <v>1</v>
      </c>
      <c r="AE8">
        <v>2820</v>
      </c>
      <c r="AF8">
        <v>6</v>
      </c>
      <c r="AG8">
        <v>1450</v>
      </c>
      <c r="AH8">
        <v>3</v>
      </c>
      <c r="AI8">
        <v>7</v>
      </c>
    </row>
    <row r="9" spans="1:35">
      <c r="A9">
        <v>260509</v>
      </c>
      <c r="B9">
        <v>3</v>
      </c>
      <c r="C9" t="s">
        <v>76</v>
      </c>
      <c r="D9" t="s">
        <v>77</v>
      </c>
      <c r="E9">
        <v>51</v>
      </c>
      <c r="F9" t="s">
        <v>33</v>
      </c>
      <c r="G9">
        <f>VLOOKUP(F9,选手工资!$A:$D,4,FALSE)</f>
        <v>4</v>
      </c>
      <c r="H9" t="s">
        <v>119</v>
      </c>
      <c r="I9">
        <v>4</v>
      </c>
      <c r="J9">
        <v>26</v>
      </c>
      <c r="K9">
        <v>4</v>
      </c>
      <c r="L9">
        <v>11</v>
      </c>
      <c r="M9">
        <v>30</v>
      </c>
      <c r="N9" s="1">
        <v>0.667</v>
      </c>
      <c r="O9" s="1">
        <v>0.116</v>
      </c>
      <c r="P9">
        <v>22115</v>
      </c>
      <c r="Q9">
        <v>165</v>
      </c>
      <c r="R9">
        <v>0</v>
      </c>
      <c r="S9">
        <v>499</v>
      </c>
      <c r="T9">
        <v>710</v>
      </c>
      <c r="U9">
        <v>2</v>
      </c>
      <c r="V9">
        <v>6192</v>
      </c>
      <c r="W9">
        <v>0</v>
      </c>
      <c r="X9">
        <v>21068</v>
      </c>
      <c r="Y9">
        <v>101</v>
      </c>
      <c r="Z9">
        <v>59369</v>
      </c>
      <c r="AA9" s="1">
        <v>0.401</v>
      </c>
      <c r="AB9">
        <v>2569</v>
      </c>
      <c r="AC9" s="3">
        <v>0.341666666666667</v>
      </c>
      <c r="AD9">
        <v>4</v>
      </c>
      <c r="AE9">
        <v>2425</v>
      </c>
      <c r="AF9">
        <v>6</v>
      </c>
      <c r="AG9">
        <v>1500</v>
      </c>
      <c r="AH9">
        <v>1</v>
      </c>
      <c r="AI9">
        <v>6</v>
      </c>
    </row>
    <row r="10" spans="1:35">
      <c r="A10">
        <v>260509</v>
      </c>
      <c r="B10">
        <v>3</v>
      </c>
      <c r="C10" t="s">
        <v>83</v>
      </c>
      <c r="D10" t="s">
        <v>84</v>
      </c>
      <c r="E10">
        <v>42</v>
      </c>
      <c r="F10" t="s">
        <v>31</v>
      </c>
      <c r="G10">
        <f>VLOOKUP(F10,选手工资!$A:$D,4,FALSE)</f>
        <v>6</v>
      </c>
      <c r="H10" t="s">
        <v>79</v>
      </c>
      <c r="I10">
        <v>4</v>
      </c>
      <c r="J10">
        <v>25</v>
      </c>
      <c r="K10">
        <v>5</v>
      </c>
      <c r="L10">
        <v>6</v>
      </c>
      <c r="M10">
        <v>27</v>
      </c>
      <c r="N10" s="1">
        <v>0.762</v>
      </c>
      <c r="O10" s="1">
        <v>0.096</v>
      </c>
      <c r="P10">
        <v>18132</v>
      </c>
      <c r="Q10">
        <v>186</v>
      </c>
      <c r="R10">
        <v>6</v>
      </c>
      <c r="S10">
        <v>393</v>
      </c>
      <c r="T10">
        <v>643</v>
      </c>
      <c r="U10">
        <v>0</v>
      </c>
      <c r="V10">
        <v>1221</v>
      </c>
      <c r="W10">
        <v>0</v>
      </c>
      <c r="X10">
        <v>14568</v>
      </c>
      <c r="Y10">
        <v>85</v>
      </c>
      <c r="Z10">
        <v>40454</v>
      </c>
      <c r="AA10" s="1">
        <v>0.539</v>
      </c>
      <c r="AB10">
        <v>1276</v>
      </c>
      <c r="AC10" s="3">
        <v>0.159027777777778</v>
      </c>
      <c r="AD10">
        <v>6</v>
      </c>
      <c r="AE10">
        <v>2544</v>
      </c>
      <c r="AF10">
        <v>5</v>
      </c>
      <c r="AG10">
        <v>2080</v>
      </c>
      <c r="AH10">
        <v>2</v>
      </c>
      <c r="AI10">
        <v>6</v>
      </c>
    </row>
    <row r="11" spans="1:35">
      <c r="A11">
        <v>260509</v>
      </c>
      <c r="B11">
        <v>3</v>
      </c>
      <c r="C11" t="s">
        <v>83</v>
      </c>
      <c r="D11" t="s">
        <v>84</v>
      </c>
      <c r="E11">
        <v>42</v>
      </c>
      <c r="F11" t="s">
        <v>41</v>
      </c>
      <c r="G11">
        <f>VLOOKUP(F11,选手工资!$A:$D,4,FALSE)</f>
        <v>1.5</v>
      </c>
      <c r="H11" t="s">
        <v>112</v>
      </c>
      <c r="I11">
        <v>5</v>
      </c>
      <c r="J11">
        <v>24</v>
      </c>
      <c r="K11">
        <v>2</v>
      </c>
      <c r="L11">
        <v>13</v>
      </c>
      <c r="M11">
        <v>22</v>
      </c>
      <c r="N11" s="1">
        <v>0.571</v>
      </c>
      <c r="O11" s="1">
        <v>0.073</v>
      </c>
      <c r="P11">
        <v>13420</v>
      </c>
      <c r="Q11">
        <v>43</v>
      </c>
      <c r="R11">
        <v>1</v>
      </c>
      <c r="S11">
        <v>284</v>
      </c>
      <c r="T11">
        <v>559</v>
      </c>
      <c r="U11">
        <v>2</v>
      </c>
      <c r="V11">
        <v>0</v>
      </c>
      <c r="W11">
        <v>0</v>
      </c>
      <c r="X11">
        <v>11085</v>
      </c>
      <c r="Y11">
        <v>0</v>
      </c>
      <c r="Z11">
        <v>44485</v>
      </c>
      <c r="AA11" s="1">
        <v>0.442</v>
      </c>
      <c r="AB11">
        <v>1315</v>
      </c>
      <c r="AC11" s="3">
        <v>0.329861111111111</v>
      </c>
      <c r="AD11">
        <v>3</v>
      </c>
      <c r="AE11">
        <v>1629</v>
      </c>
      <c r="AF11">
        <v>3</v>
      </c>
      <c r="AG11">
        <v>1210</v>
      </c>
      <c r="AH11">
        <v>7</v>
      </c>
      <c r="AI11">
        <v>11</v>
      </c>
    </row>
    <row r="14" spans="1:35">
      <c r="A14" t="s">
        <v>90</v>
      </c>
      <c r="B14" s="4">
        <v>8804194377</v>
      </c>
      <c r="C14" s="4"/>
    </row>
    <row r="15" spans="1:35">
      <c r="A15" t="s">
        <v>91</v>
      </c>
      <c r="B15" s="7" t="s">
        <v>162</v>
      </c>
    </row>
  </sheetData>
  <sortState ref="A2:AI11">
    <sortCondition ref="AF2" descending="1"/>
  </sortState>
  <mergeCells count="1">
    <mergeCell ref="B14:C1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opLeftCell="P1" workbookViewId="0">
      <selection activeCell="AG1" sqref="AG$1:AI$1048576"/>
    </sheetView>
  </sheetViews>
  <sheetFormatPr defaultColWidth="9.25" defaultRowHeight="16.8"/>
  <cols>
    <col min="6" max="6" width="12.875"/>
    <col min="7" max="7" width="10.25" customWidth="1"/>
    <col min="8" max="9" width="12.875"/>
    <col min="26" max="26" width="12.75" customWidth="1"/>
    <col min="28" max="28" width="15.125" customWidth="1"/>
    <col min="32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260510</v>
      </c>
      <c r="B2">
        <v>1</v>
      </c>
      <c r="C2" t="s">
        <v>83</v>
      </c>
      <c r="D2" t="s">
        <v>77</v>
      </c>
      <c r="E2">
        <v>44</v>
      </c>
      <c r="F2" t="s">
        <v>19</v>
      </c>
      <c r="G2">
        <f>VLOOKUP(F2,选手工资!$A:$E,5,FALSE)</f>
        <v>7.5</v>
      </c>
      <c r="H2" t="s">
        <v>163</v>
      </c>
      <c r="I2">
        <v>2</v>
      </c>
      <c r="J2">
        <v>21</v>
      </c>
      <c r="K2">
        <v>10</v>
      </c>
      <c r="L2">
        <v>0</v>
      </c>
      <c r="M2">
        <v>17</v>
      </c>
      <c r="N2" s="1">
        <v>0.614</v>
      </c>
      <c r="O2" s="1">
        <v>0.276</v>
      </c>
      <c r="P2">
        <v>17308</v>
      </c>
      <c r="Q2">
        <v>221</v>
      </c>
      <c r="R2">
        <v>6</v>
      </c>
      <c r="S2">
        <v>592</v>
      </c>
      <c r="T2">
        <v>807</v>
      </c>
      <c r="U2">
        <v>4</v>
      </c>
      <c r="V2">
        <v>37</v>
      </c>
      <c r="W2">
        <v>0</v>
      </c>
      <c r="X2">
        <v>26578</v>
      </c>
      <c r="Y2">
        <v>856</v>
      </c>
      <c r="Z2">
        <v>44276</v>
      </c>
      <c r="AA2" s="1">
        <v>0.582</v>
      </c>
      <c r="AB2">
        <v>0</v>
      </c>
      <c r="AC2" s="3">
        <v>0</v>
      </c>
      <c r="AD2">
        <v>9</v>
      </c>
      <c r="AE2">
        <v>4283</v>
      </c>
      <c r="AF2">
        <v>9</v>
      </c>
      <c r="AG2">
        <v>100</v>
      </c>
      <c r="AH2">
        <v>0</v>
      </c>
      <c r="AI2">
        <v>1</v>
      </c>
    </row>
    <row r="3" spans="1:35">
      <c r="A3">
        <v>260510</v>
      </c>
      <c r="B3">
        <v>1</v>
      </c>
      <c r="C3" t="s">
        <v>83</v>
      </c>
      <c r="D3" t="s">
        <v>77</v>
      </c>
      <c r="E3">
        <v>44</v>
      </c>
      <c r="F3" t="s">
        <v>23</v>
      </c>
      <c r="G3">
        <f>VLOOKUP(F3,选手工资!$A:$E,5,FALSE)</f>
        <v>5</v>
      </c>
      <c r="H3" t="s">
        <v>164</v>
      </c>
      <c r="I3">
        <v>1</v>
      </c>
      <c r="J3">
        <v>22</v>
      </c>
      <c r="K3">
        <v>13</v>
      </c>
      <c r="L3">
        <v>3</v>
      </c>
      <c r="M3">
        <v>13</v>
      </c>
      <c r="N3" s="1">
        <v>0.591</v>
      </c>
      <c r="O3" s="1">
        <v>0.228</v>
      </c>
      <c r="P3">
        <v>17144</v>
      </c>
      <c r="Q3">
        <v>185</v>
      </c>
      <c r="R3">
        <v>14</v>
      </c>
      <c r="S3">
        <v>585</v>
      </c>
      <c r="T3">
        <v>943</v>
      </c>
      <c r="U3">
        <v>0</v>
      </c>
      <c r="V3">
        <v>0</v>
      </c>
      <c r="W3">
        <v>0</v>
      </c>
      <c r="X3">
        <v>21922</v>
      </c>
      <c r="Y3">
        <v>1288</v>
      </c>
      <c r="Z3">
        <v>19192</v>
      </c>
      <c r="AA3" s="1">
        <v>0.391</v>
      </c>
      <c r="AB3">
        <v>502</v>
      </c>
      <c r="AC3" s="3">
        <v>0.0923611111111111</v>
      </c>
      <c r="AD3">
        <v>5</v>
      </c>
      <c r="AE3">
        <v>4393</v>
      </c>
      <c r="AF3">
        <v>7</v>
      </c>
      <c r="AG3">
        <v>0</v>
      </c>
      <c r="AH3">
        <v>0</v>
      </c>
      <c r="AI3">
        <v>0</v>
      </c>
    </row>
    <row r="4" spans="1:35">
      <c r="A4">
        <v>260510</v>
      </c>
      <c r="B4">
        <v>1</v>
      </c>
      <c r="C4" t="s">
        <v>83</v>
      </c>
      <c r="D4" t="s">
        <v>77</v>
      </c>
      <c r="E4">
        <v>44</v>
      </c>
      <c r="F4" t="s">
        <v>28</v>
      </c>
      <c r="G4">
        <f>VLOOKUP(F4,选手工资!$A:$E,5,FALSE)</f>
        <v>5</v>
      </c>
      <c r="H4" t="s">
        <v>165</v>
      </c>
      <c r="I4">
        <v>4</v>
      </c>
      <c r="J4">
        <v>18</v>
      </c>
      <c r="K4">
        <v>8</v>
      </c>
      <c r="L4">
        <v>7</v>
      </c>
      <c r="M4">
        <v>22</v>
      </c>
      <c r="N4" s="1">
        <v>0.682</v>
      </c>
      <c r="O4" s="1">
        <v>0.23</v>
      </c>
      <c r="P4">
        <v>12005</v>
      </c>
      <c r="Q4">
        <v>81</v>
      </c>
      <c r="R4">
        <v>3</v>
      </c>
      <c r="S4">
        <v>419</v>
      </c>
      <c r="T4">
        <v>609</v>
      </c>
      <c r="U4">
        <v>1</v>
      </c>
      <c r="V4">
        <v>5810</v>
      </c>
      <c r="W4">
        <v>1</v>
      </c>
      <c r="X4">
        <v>22187</v>
      </c>
      <c r="Y4">
        <v>3669</v>
      </c>
      <c r="Z4">
        <v>27796</v>
      </c>
      <c r="AA4" s="1">
        <v>0.399</v>
      </c>
      <c r="AB4">
        <v>517</v>
      </c>
      <c r="AC4" s="3">
        <v>0.132638888888889</v>
      </c>
      <c r="AD4">
        <v>6</v>
      </c>
      <c r="AE4">
        <v>2416</v>
      </c>
      <c r="AF4">
        <v>6</v>
      </c>
      <c r="AG4">
        <v>400</v>
      </c>
      <c r="AH4">
        <v>1</v>
      </c>
      <c r="AI4">
        <v>6</v>
      </c>
    </row>
    <row r="5" spans="1:35">
      <c r="A5">
        <v>260510</v>
      </c>
      <c r="B5">
        <v>1</v>
      </c>
      <c r="C5" t="s">
        <v>83</v>
      </c>
      <c r="D5" t="s">
        <v>77</v>
      </c>
      <c r="E5">
        <v>44</v>
      </c>
      <c r="F5" t="s">
        <v>22</v>
      </c>
      <c r="G5">
        <f>VLOOKUP(F5,选手工资!$A:$E,5,FALSE)</f>
        <v>6.5</v>
      </c>
      <c r="H5" t="s">
        <v>152</v>
      </c>
      <c r="I5">
        <v>3</v>
      </c>
      <c r="J5">
        <v>17</v>
      </c>
      <c r="K5">
        <v>11</v>
      </c>
      <c r="L5">
        <v>4</v>
      </c>
      <c r="M5">
        <v>15</v>
      </c>
      <c r="N5" s="1">
        <v>0.591</v>
      </c>
      <c r="O5" s="1">
        <v>0.141</v>
      </c>
      <c r="P5">
        <v>14709</v>
      </c>
      <c r="Q5">
        <v>179</v>
      </c>
      <c r="R5">
        <v>1</v>
      </c>
      <c r="S5">
        <v>500</v>
      </c>
      <c r="T5">
        <v>565</v>
      </c>
      <c r="U5">
        <v>3</v>
      </c>
      <c r="V5">
        <v>0</v>
      </c>
      <c r="W5">
        <v>0</v>
      </c>
      <c r="X5">
        <v>13627</v>
      </c>
      <c r="Y5">
        <v>1242</v>
      </c>
      <c r="Z5">
        <v>36186</v>
      </c>
      <c r="AA5" s="1">
        <v>0.404</v>
      </c>
      <c r="AB5">
        <v>597</v>
      </c>
      <c r="AC5" s="3">
        <v>0.0888888888888889</v>
      </c>
      <c r="AD5">
        <v>1</v>
      </c>
      <c r="AE5">
        <v>3689</v>
      </c>
      <c r="AF5">
        <v>5</v>
      </c>
      <c r="AG5">
        <v>0</v>
      </c>
      <c r="AH5">
        <v>0</v>
      </c>
      <c r="AI5">
        <v>0</v>
      </c>
    </row>
    <row r="6" spans="1:35">
      <c r="A6">
        <v>260510</v>
      </c>
      <c r="B6">
        <v>1</v>
      </c>
      <c r="C6" t="s">
        <v>83</v>
      </c>
      <c r="D6" t="s">
        <v>77</v>
      </c>
      <c r="E6">
        <v>44</v>
      </c>
      <c r="F6" t="s">
        <v>41</v>
      </c>
      <c r="G6">
        <f>VLOOKUP(F6,选手工资!$A:$E,5,FALSE)</f>
        <v>2.5</v>
      </c>
      <c r="H6" t="s">
        <v>95</v>
      </c>
      <c r="I6">
        <v>5</v>
      </c>
      <c r="J6">
        <v>15</v>
      </c>
      <c r="K6">
        <v>2</v>
      </c>
      <c r="L6">
        <v>2</v>
      </c>
      <c r="M6">
        <v>25</v>
      </c>
      <c r="N6" s="1">
        <v>0.614</v>
      </c>
      <c r="O6" s="1">
        <v>0.125</v>
      </c>
      <c r="P6">
        <v>8548</v>
      </c>
      <c r="Q6">
        <v>47</v>
      </c>
      <c r="R6">
        <v>0</v>
      </c>
      <c r="S6">
        <v>294</v>
      </c>
      <c r="T6">
        <v>435</v>
      </c>
      <c r="U6">
        <v>3</v>
      </c>
      <c r="V6">
        <v>1164</v>
      </c>
      <c r="W6">
        <v>1</v>
      </c>
      <c r="X6">
        <v>12013</v>
      </c>
      <c r="Y6">
        <v>337</v>
      </c>
      <c r="Z6">
        <v>11634</v>
      </c>
      <c r="AA6" s="1">
        <v>0.329</v>
      </c>
      <c r="AB6">
        <v>134</v>
      </c>
      <c r="AC6" s="3">
        <v>0.0347222222222222</v>
      </c>
      <c r="AD6">
        <v>2</v>
      </c>
      <c r="AE6">
        <v>2021</v>
      </c>
      <c r="AF6">
        <v>5</v>
      </c>
      <c r="AG6">
        <v>200</v>
      </c>
      <c r="AH6">
        <v>2</v>
      </c>
      <c r="AI6">
        <v>1</v>
      </c>
    </row>
    <row r="7" spans="1:35">
      <c r="A7">
        <v>260510</v>
      </c>
      <c r="B7">
        <v>1</v>
      </c>
      <c r="C7" t="s">
        <v>76</v>
      </c>
      <c r="D7" t="s">
        <v>84</v>
      </c>
      <c r="E7">
        <v>16</v>
      </c>
      <c r="F7" t="s">
        <v>35</v>
      </c>
      <c r="G7">
        <f>VLOOKUP(F7,选手工资!$A:$E,5,FALSE)</f>
        <v>3.5</v>
      </c>
      <c r="H7" t="s">
        <v>144</v>
      </c>
      <c r="I7">
        <v>4</v>
      </c>
      <c r="J7">
        <v>11</v>
      </c>
      <c r="K7">
        <v>4</v>
      </c>
      <c r="L7">
        <v>9</v>
      </c>
      <c r="M7">
        <v>7</v>
      </c>
      <c r="N7" s="1">
        <v>0.688</v>
      </c>
      <c r="O7" s="1">
        <v>0.23</v>
      </c>
      <c r="P7">
        <v>5805</v>
      </c>
      <c r="Q7">
        <v>14</v>
      </c>
      <c r="R7">
        <v>4</v>
      </c>
      <c r="S7">
        <v>230</v>
      </c>
      <c r="T7">
        <v>271</v>
      </c>
      <c r="U7">
        <v>0</v>
      </c>
      <c r="V7">
        <v>0</v>
      </c>
      <c r="W7">
        <v>0</v>
      </c>
      <c r="X7">
        <v>17819</v>
      </c>
      <c r="Y7">
        <v>0</v>
      </c>
      <c r="Z7">
        <v>20481</v>
      </c>
      <c r="AA7" s="1">
        <v>0.274</v>
      </c>
      <c r="AB7">
        <v>623</v>
      </c>
      <c r="AC7" s="3">
        <v>0.185416666666667</v>
      </c>
      <c r="AD7">
        <v>3</v>
      </c>
      <c r="AE7">
        <v>1470</v>
      </c>
      <c r="AF7">
        <v>8</v>
      </c>
      <c r="AG7">
        <v>350</v>
      </c>
      <c r="AH7">
        <v>2</v>
      </c>
      <c r="AI7">
        <v>3</v>
      </c>
    </row>
    <row r="8" spans="1:35">
      <c r="A8">
        <v>260510</v>
      </c>
      <c r="B8">
        <v>1</v>
      </c>
      <c r="C8" t="s">
        <v>76</v>
      </c>
      <c r="D8" t="s">
        <v>84</v>
      </c>
      <c r="E8">
        <v>16</v>
      </c>
      <c r="F8" t="s">
        <v>17</v>
      </c>
      <c r="G8">
        <f>VLOOKUP(F8,选手工资!$A:$E,5,FALSE)</f>
        <v>8</v>
      </c>
      <c r="H8" t="s">
        <v>96</v>
      </c>
      <c r="I8">
        <v>1</v>
      </c>
      <c r="J8">
        <v>16</v>
      </c>
      <c r="K8">
        <v>6</v>
      </c>
      <c r="L8">
        <v>7</v>
      </c>
      <c r="M8">
        <v>6</v>
      </c>
      <c r="N8" s="1">
        <v>0.75</v>
      </c>
      <c r="O8" s="1">
        <v>0.281</v>
      </c>
      <c r="P8">
        <v>11540</v>
      </c>
      <c r="Q8">
        <v>174</v>
      </c>
      <c r="R8">
        <v>20</v>
      </c>
      <c r="S8">
        <v>418</v>
      </c>
      <c r="T8">
        <v>470</v>
      </c>
      <c r="U8">
        <v>1</v>
      </c>
      <c r="V8">
        <v>2465</v>
      </c>
      <c r="W8">
        <v>0</v>
      </c>
      <c r="X8">
        <v>21751</v>
      </c>
      <c r="Y8">
        <v>0</v>
      </c>
      <c r="Z8">
        <v>33833</v>
      </c>
      <c r="AA8" s="1">
        <v>0.332</v>
      </c>
      <c r="AB8">
        <v>1117</v>
      </c>
      <c r="AC8" s="3">
        <v>0.186805555555556</v>
      </c>
      <c r="AD8">
        <v>7</v>
      </c>
      <c r="AE8">
        <v>4398</v>
      </c>
      <c r="AF8">
        <v>7</v>
      </c>
      <c r="AG8">
        <v>0</v>
      </c>
      <c r="AH8">
        <v>0</v>
      </c>
      <c r="AI8">
        <v>1</v>
      </c>
    </row>
    <row r="9" spans="1:35">
      <c r="A9">
        <v>260510</v>
      </c>
      <c r="B9">
        <v>1</v>
      </c>
      <c r="C9" t="s">
        <v>76</v>
      </c>
      <c r="D9" t="s">
        <v>84</v>
      </c>
      <c r="E9">
        <v>16</v>
      </c>
      <c r="F9" t="s">
        <v>21</v>
      </c>
      <c r="G9">
        <f>VLOOKUP(F9,选手工资!$A:$E,5,FALSE)</f>
        <v>8.5</v>
      </c>
      <c r="H9" t="s">
        <v>85</v>
      </c>
      <c r="I9">
        <v>2</v>
      </c>
      <c r="J9">
        <v>16</v>
      </c>
      <c r="K9">
        <v>2</v>
      </c>
      <c r="L9">
        <v>7</v>
      </c>
      <c r="M9">
        <v>8</v>
      </c>
      <c r="N9" s="1">
        <v>0.625</v>
      </c>
      <c r="O9" s="1">
        <v>0.189</v>
      </c>
      <c r="P9">
        <v>11120</v>
      </c>
      <c r="Q9">
        <v>156</v>
      </c>
      <c r="R9">
        <v>3</v>
      </c>
      <c r="S9">
        <v>401</v>
      </c>
      <c r="T9">
        <v>483</v>
      </c>
      <c r="U9">
        <v>1</v>
      </c>
      <c r="V9">
        <v>0</v>
      </c>
      <c r="W9">
        <v>0</v>
      </c>
      <c r="X9">
        <v>14625</v>
      </c>
      <c r="Y9">
        <v>0</v>
      </c>
      <c r="Z9">
        <v>41667</v>
      </c>
      <c r="AA9" s="1">
        <v>0.482</v>
      </c>
      <c r="AB9">
        <v>1215</v>
      </c>
      <c r="AC9" s="3">
        <v>0.190277777777778</v>
      </c>
      <c r="AD9">
        <v>10</v>
      </c>
      <c r="AE9">
        <v>4356</v>
      </c>
      <c r="AF9">
        <v>7</v>
      </c>
      <c r="AG9">
        <v>50</v>
      </c>
      <c r="AH9">
        <v>0</v>
      </c>
      <c r="AI9">
        <v>1</v>
      </c>
    </row>
    <row r="10" spans="1:35">
      <c r="A10">
        <v>260510</v>
      </c>
      <c r="B10">
        <v>1</v>
      </c>
      <c r="C10" t="s">
        <v>76</v>
      </c>
      <c r="D10" t="s">
        <v>84</v>
      </c>
      <c r="E10">
        <v>16</v>
      </c>
      <c r="F10" t="s">
        <v>18</v>
      </c>
      <c r="G10">
        <f>VLOOKUP(F10,选手工资!$A:$E,5,FALSE)</f>
        <v>5.5</v>
      </c>
      <c r="H10" t="s">
        <v>97</v>
      </c>
      <c r="I10">
        <v>3</v>
      </c>
      <c r="J10">
        <v>15</v>
      </c>
      <c r="K10">
        <v>3</v>
      </c>
      <c r="L10">
        <v>9</v>
      </c>
      <c r="M10">
        <v>6</v>
      </c>
      <c r="N10" s="1">
        <v>0.563</v>
      </c>
      <c r="O10" s="1">
        <v>0.18</v>
      </c>
      <c r="P10">
        <v>10390</v>
      </c>
      <c r="Q10">
        <v>162</v>
      </c>
      <c r="R10">
        <v>5</v>
      </c>
      <c r="S10">
        <v>370</v>
      </c>
      <c r="T10">
        <v>420</v>
      </c>
      <c r="U10">
        <v>1</v>
      </c>
      <c r="V10">
        <v>0</v>
      </c>
      <c r="W10">
        <v>0</v>
      </c>
      <c r="X10">
        <v>13909</v>
      </c>
      <c r="Y10">
        <v>0</v>
      </c>
      <c r="Z10">
        <v>47526</v>
      </c>
      <c r="AA10" s="1">
        <v>0.476</v>
      </c>
      <c r="AB10">
        <v>865</v>
      </c>
      <c r="AC10" s="3">
        <v>0.208333333333333</v>
      </c>
      <c r="AD10">
        <v>8</v>
      </c>
      <c r="AE10">
        <v>3864</v>
      </c>
      <c r="AF10">
        <v>6</v>
      </c>
      <c r="AG10">
        <v>0</v>
      </c>
      <c r="AH10">
        <v>1</v>
      </c>
      <c r="AI10">
        <v>0</v>
      </c>
    </row>
    <row r="11" spans="1:35">
      <c r="A11">
        <v>260510</v>
      </c>
      <c r="B11">
        <v>1</v>
      </c>
      <c r="C11" t="s">
        <v>76</v>
      </c>
      <c r="D11" t="s">
        <v>84</v>
      </c>
      <c r="E11">
        <v>16</v>
      </c>
      <c r="F11" t="s">
        <v>38</v>
      </c>
      <c r="G11">
        <f>VLOOKUP(F11,选手工资!$A:$E,5,FALSE)</f>
        <v>1.5</v>
      </c>
      <c r="H11" t="s">
        <v>79</v>
      </c>
      <c r="I11">
        <v>5</v>
      </c>
      <c r="J11">
        <v>9</v>
      </c>
      <c r="K11">
        <v>1</v>
      </c>
      <c r="L11">
        <v>12</v>
      </c>
      <c r="M11">
        <v>7</v>
      </c>
      <c r="N11" s="1">
        <v>0.5</v>
      </c>
      <c r="O11" s="1">
        <v>0.119</v>
      </c>
      <c r="P11">
        <v>4287</v>
      </c>
      <c r="Q11">
        <v>20</v>
      </c>
      <c r="R11">
        <v>0</v>
      </c>
      <c r="S11">
        <v>187</v>
      </c>
      <c r="T11">
        <v>193</v>
      </c>
      <c r="U11">
        <v>1</v>
      </c>
      <c r="V11">
        <v>0</v>
      </c>
      <c r="W11">
        <v>0</v>
      </c>
      <c r="X11">
        <v>9213</v>
      </c>
      <c r="Y11">
        <v>0</v>
      </c>
      <c r="Z11">
        <v>16146</v>
      </c>
      <c r="AA11" s="1">
        <v>0.294</v>
      </c>
      <c r="AB11">
        <v>297</v>
      </c>
      <c r="AC11" s="3">
        <v>0.215972222222222</v>
      </c>
      <c r="AD11">
        <v>4</v>
      </c>
      <c r="AE11">
        <v>1379</v>
      </c>
      <c r="AF11">
        <v>4</v>
      </c>
      <c r="AG11">
        <v>800</v>
      </c>
      <c r="AH11">
        <v>3</v>
      </c>
      <c r="AI11">
        <v>2</v>
      </c>
    </row>
    <row r="14" spans="1:35">
      <c r="A14" t="s">
        <v>90</v>
      </c>
      <c r="B14" s="4">
        <v>8805520036</v>
      </c>
      <c r="C14" s="4"/>
    </row>
    <row r="15" spans="1:35">
      <c r="A15" t="s">
        <v>91</v>
      </c>
      <c r="B15" s="7" t="s">
        <v>166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AA2" activePane="bottomRight" state="frozen"/>
      <selection/>
      <selection pane="topRight"/>
      <selection pane="bottomLeft"/>
      <selection pane="bottomRight" activeCell="AG1" sqref="AG$1:AI$1048576"/>
    </sheetView>
  </sheetViews>
  <sheetFormatPr defaultColWidth="9.25" defaultRowHeight="16.8"/>
  <cols>
    <col min="6" max="6" width="12.875" customWidth="1"/>
    <col min="7" max="7" width="10.25" customWidth="1"/>
    <col min="9" max="9" width="12.875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260510</v>
      </c>
      <c r="B2">
        <v>2</v>
      </c>
      <c r="C2" t="s">
        <v>83</v>
      </c>
      <c r="D2" t="s">
        <v>77</v>
      </c>
      <c r="E2">
        <v>50</v>
      </c>
      <c r="F2" t="s">
        <v>19</v>
      </c>
      <c r="G2">
        <f>VLOOKUP(F2,选手工资!$A:$E,5,FALSE)</f>
        <v>7.5</v>
      </c>
      <c r="H2" t="s">
        <v>128</v>
      </c>
      <c r="I2">
        <v>2</v>
      </c>
      <c r="J2">
        <v>24</v>
      </c>
      <c r="K2">
        <v>10</v>
      </c>
      <c r="L2">
        <v>3</v>
      </c>
      <c r="M2">
        <v>21</v>
      </c>
      <c r="N2" s="1">
        <v>0.62</v>
      </c>
      <c r="O2" s="1">
        <v>0.266</v>
      </c>
      <c r="P2">
        <v>20000</v>
      </c>
      <c r="Q2">
        <v>255</v>
      </c>
      <c r="R2">
        <v>4</v>
      </c>
      <c r="S2">
        <v>599</v>
      </c>
      <c r="T2">
        <v>950</v>
      </c>
      <c r="U2">
        <v>4</v>
      </c>
      <c r="V2">
        <v>106</v>
      </c>
      <c r="W2">
        <v>0</v>
      </c>
      <c r="X2">
        <v>35219</v>
      </c>
      <c r="Y2">
        <v>5119</v>
      </c>
      <c r="Z2">
        <v>27058</v>
      </c>
      <c r="AA2" s="1">
        <v>0.377</v>
      </c>
      <c r="AB2">
        <v>384</v>
      </c>
      <c r="AC2" s="3">
        <v>0.0729166666666667</v>
      </c>
      <c r="AD2">
        <v>6</v>
      </c>
      <c r="AE2">
        <v>3779</v>
      </c>
      <c r="AF2">
        <v>8</v>
      </c>
      <c r="AG2">
        <v>100</v>
      </c>
      <c r="AH2">
        <v>1</v>
      </c>
      <c r="AI2">
        <v>2</v>
      </c>
    </row>
    <row r="3" spans="1:35">
      <c r="A3">
        <v>260510</v>
      </c>
      <c r="B3">
        <v>2</v>
      </c>
      <c r="C3" t="s">
        <v>83</v>
      </c>
      <c r="D3" t="s">
        <v>77</v>
      </c>
      <c r="E3">
        <v>50</v>
      </c>
      <c r="F3" t="s">
        <v>18</v>
      </c>
      <c r="G3">
        <f>VLOOKUP(F3,选手工资!$A:$E,5,FALSE)</f>
        <v>5.5</v>
      </c>
      <c r="H3" t="s">
        <v>118</v>
      </c>
      <c r="I3">
        <v>1</v>
      </c>
      <c r="J3">
        <v>25</v>
      </c>
      <c r="K3">
        <v>14</v>
      </c>
      <c r="L3">
        <v>2</v>
      </c>
      <c r="M3">
        <v>18</v>
      </c>
      <c r="N3" s="1">
        <v>0.64</v>
      </c>
      <c r="O3" s="1">
        <v>0.25</v>
      </c>
      <c r="P3">
        <v>23786</v>
      </c>
      <c r="Q3">
        <v>318</v>
      </c>
      <c r="R3">
        <v>4</v>
      </c>
      <c r="S3">
        <v>697</v>
      </c>
      <c r="T3">
        <v>1116</v>
      </c>
      <c r="U3">
        <v>0</v>
      </c>
      <c r="V3">
        <v>0</v>
      </c>
      <c r="W3">
        <v>0</v>
      </c>
      <c r="X3">
        <v>33135</v>
      </c>
      <c r="Y3">
        <v>7705</v>
      </c>
      <c r="Z3">
        <v>49957</v>
      </c>
      <c r="AA3" s="1">
        <v>0.417</v>
      </c>
      <c r="AB3">
        <v>194</v>
      </c>
      <c r="AC3" s="3">
        <v>0.0375</v>
      </c>
      <c r="AD3">
        <v>2</v>
      </c>
      <c r="AE3">
        <v>3938</v>
      </c>
      <c r="AF3">
        <v>7</v>
      </c>
      <c r="AG3">
        <v>0</v>
      </c>
      <c r="AH3">
        <v>0</v>
      </c>
      <c r="AI3">
        <v>0</v>
      </c>
    </row>
    <row r="4" spans="1:35">
      <c r="A4">
        <v>260510</v>
      </c>
      <c r="B4">
        <v>2</v>
      </c>
      <c r="C4" t="s">
        <v>83</v>
      </c>
      <c r="D4" t="s">
        <v>77</v>
      </c>
      <c r="E4">
        <v>50</v>
      </c>
      <c r="F4" t="s">
        <v>17</v>
      </c>
      <c r="G4">
        <f>VLOOKUP(F4,选手工资!$A:$E,5,FALSE)</f>
        <v>8</v>
      </c>
      <c r="H4" t="s">
        <v>80</v>
      </c>
      <c r="I4">
        <v>3</v>
      </c>
      <c r="J4">
        <v>23</v>
      </c>
      <c r="K4">
        <v>9</v>
      </c>
      <c r="L4">
        <v>4</v>
      </c>
      <c r="M4">
        <v>20</v>
      </c>
      <c r="N4" s="1">
        <v>0.58</v>
      </c>
      <c r="O4" s="1">
        <v>0.214</v>
      </c>
      <c r="P4">
        <v>20020</v>
      </c>
      <c r="Q4">
        <v>342</v>
      </c>
      <c r="R4">
        <v>9</v>
      </c>
      <c r="S4">
        <v>607</v>
      </c>
      <c r="T4">
        <v>885</v>
      </c>
      <c r="U4">
        <v>2</v>
      </c>
      <c r="V4">
        <v>8933</v>
      </c>
      <c r="W4">
        <v>0</v>
      </c>
      <c r="X4">
        <v>28291</v>
      </c>
      <c r="Y4">
        <v>5148</v>
      </c>
      <c r="Z4">
        <v>49025</v>
      </c>
      <c r="AA4" s="1">
        <v>0.477</v>
      </c>
      <c r="AB4">
        <v>743</v>
      </c>
      <c r="AC4" s="3">
        <v>0.110416666666667</v>
      </c>
      <c r="AD4">
        <v>5</v>
      </c>
      <c r="AE4">
        <v>4073</v>
      </c>
      <c r="AF4">
        <v>6</v>
      </c>
      <c r="AG4">
        <v>0</v>
      </c>
      <c r="AH4">
        <v>0</v>
      </c>
      <c r="AI4">
        <v>0</v>
      </c>
    </row>
    <row r="5" spans="1:35">
      <c r="A5">
        <v>260510</v>
      </c>
      <c r="B5">
        <v>2</v>
      </c>
      <c r="C5" t="s">
        <v>83</v>
      </c>
      <c r="D5" t="s">
        <v>77</v>
      </c>
      <c r="E5">
        <v>50</v>
      </c>
      <c r="F5" t="s">
        <v>34</v>
      </c>
      <c r="G5">
        <f>VLOOKUP(F5,选手工资!$A:$E,5,FALSE)</f>
        <v>2</v>
      </c>
      <c r="H5" t="s">
        <v>167</v>
      </c>
      <c r="I5">
        <v>5</v>
      </c>
      <c r="J5">
        <v>17</v>
      </c>
      <c r="K5">
        <v>10</v>
      </c>
      <c r="L5">
        <v>10</v>
      </c>
      <c r="M5">
        <v>18</v>
      </c>
      <c r="N5" s="1">
        <v>0.56</v>
      </c>
      <c r="O5" s="1">
        <v>0.164</v>
      </c>
      <c r="P5">
        <v>10373</v>
      </c>
      <c r="Q5">
        <v>38</v>
      </c>
      <c r="R5">
        <v>6</v>
      </c>
      <c r="S5">
        <v>338</v>
      </c>
      <c r="T5">
        <v>461</v>
      </c>
      <c r="U5">
        <v>3</v>
      </c>
      <c r="V5">
        <v>5252</v>
      </c>
      <c r="W5">
        <v>0</v>
      </c>
      <c r="X5">
        <v>21692</v>
      </c>
      <c r="Y5">
        <v>830</v>
      </c>
      <c r="Z5">
        <v>28779</v>
      </c>
      <c r="AA5" s="1">
        <v>0.299</v>
      </c>
      <c r="AB5">
        <v>1244</v>
      </c>
      <c r="AC5" s="3">
        <v>0.252777777777778</v>
      </c>
      <c r="AD5">
        <v>9</v>
      </c>
      <c r="AE5">
        <v>3124</v>
      </c>
      <c r="AF5">
        <v>6</v>
      </c>
      <c r="AG5">
        <v>300</v>
      </c>
      <c r="AH5">
        <v>1</v>
      </c>
      <c r="AI5">
        <v>7</v>
      </c>
    </row>
    <row r="6" spans="1:35">
      <c r="A6">
        <v>260510</v>
      </c>
      <c r="B6">
        <v>2</v>
      </c>
      <c r="C6" t="s">
        <v>83</v>
      </c>
      <c r="D6" t="s">
        <v>77</v>
      </c>
      <c r="E6">
        <v>50</v>
      </c>
      <c r="F6" t="s">
        <v>38</v>
      </c>
      <c r="G6">
        <f>VLOOKUP(F6,选手工资!$A:$E,5,FALSE)</f>
        <v>1.5</v>
      </c>
      <c r="H6" t="s">
        <v>168</v>
      </c>
      <c r="I6">
        <v>4</v>
      </c>
      <c r="J6">
        <v>16</v>
      </c>
      <c r="K6">
        <v>7</v>
      </c>
      <c r="L6">
        <v>11</v>
      </c>
      <c r="M6">
        <v>23</v>
      </c>
      <c r="N6" s="1">
        <v>0.6</v>
      </c>
      <c r="O6" s="1">
        <v>0.107</v>
      </c>
      <c r="P6">
        <v>10335</v>
      </c>
      <c r="Q6">
        <v>91</v>
      </c>
      <c r="R6">
        <v>3</v>
      </c>
      <c r="S6">
        <v>392</v>
      </c>
      <c r="T6">
        <v>442</v>
      </c>
      <c r="U6">
        <v>3</v>
      </c>
      <c r="V6">
        <v>2012</v>
      </c>
      <c r="W6">
        <v>0</v>
      </c>
      <c r="X6">
        <v>14156</v>
      </c>
      <c r="Y6">
        <v>1040</v>
      </c>
      <c r="Z6">
        <v>24346</v>
      </c>
      <c r="AA6" s="1">
        <v>0.354</v>
      </c>
      <c r="AB6">
        <v>1284</v>
      </c>
      <c r="AC6" s="3">
        <v>0.214583333333333</v>
      </c>
      <c r="AD6">
        <v>1</v>
      </c>
      <c r="AE6">
        <v>1945</v>
      </c>
      <c r="AF6">
        <v>6</v>
      </c>
      <c r="AG6">
        <v>550</v>
      </c>
      <c r="AH6">
        <v>0</v>
      </c>
      <c r="AI6">
        <v>7</v>
      </c>
    </row>
    <row r="7" spans="1:35">
      <c r="A7">
        <v>260510</v>
      </c>
      <c r="B7">
        <v>2</v>
      </c>
      <c r="C7" t="s">
        <v>76</v>
      </c>
      <c r="D7" t="s">
        <v>84</v>
      </c>
      <c r="E7">
        <v>30</v>
      </c>
      <c r="F7" t="s">
        <v>21</v>
      </c>
      <c r="G7">
        <f>VLOOKUP(F7,选手工资!$A:$E,5,FALSE)</f>
        <v>8.5</v>
      </c>
      <c r="H7" t="s">
        <v>103</v>
      </c>
      <c r="I7">
        <v>2</v>
      </c>
      <c r="J7">
        <v>17</v>
      </c>
      <c r="K7">
        <v>6</v>
      </c>
      <c r="L7">
        <v>9</v>
      </c>
      <c r="M7">
        <v>4</v>
      </c>
      <c r="N7" s="1">
        <v>0.333</v>
      </c>
      <c r="O7" s="1">
        <v>0.202</v>
      </c>
      <c r="P7">
        <v>12129</v>
      </c>
      <c r="Q7">
        <v>195</v>
      </c>
      <c r="R7">
        <v>10</v>
      </c>
      <c r="S7">
        <v>434</v>
      </c>
      <c r="T7">
        <v>463</v>
      </c>
      <c r="U7">
        <v>4</v>
      </c>
      <c r="V7">
        <v>0</v>
      </c>
      <c r="W7">
        <v>0</v>
      </c>
      <c r="X7">
        <v>21707</v>
      </c>
      <c r="Y7">
        <v>8</v>
      </c>
      <c r="Z7">
        <v>58466</v>
      </c>
      <c r="AA7" s="1">
        <v>0.557</v>
      </c>
      <c r="AB7">
        <v>1607</v>
      </c>
      <c r="AC7" s="3">
        <v>0.293055555555556</v>
      </c>
      <c r="AD7">
        <v>10</v>
      </c>
      <c r="AE7">
        <v>4905</v>
      </c>
      <c r="AF7">
        <v>9</v>
      </c>
      <c r="AG7">
        <v>0</v>
      </c>
      <c r="AH7">
        <v>0</v>
      </c>
      <c r="AI7">
        <v>0</v>
      </c>
    </row>
    <row r="8" spans="1:35">
      <c r="A8">
        <v>260510</v>
      </c>
      <c r="B8">
        <v>2</v>
      </c>
      <c r="C8" t="s">
        <v>76</v>
      </c>
      <c r="D8" t="s">
        <v>84</v>
      </c>
      <c r="E8">
        <v>30</v>
      </c>
      <c r="F8" t="s">
        <v>41</v>
      </c>
      <c r="G8">
        <f>VLOOKUP(F8,选手工资!$A:$E,5,FALSE)</f>
        <v>2.5</v>
      </c>
      <c r="H8" t="s">
        <v>104</v>
      </c>
      <c r="I8">
        <v>3</v>
      </c>
      <c r="J8">
        <v>17</v>
      </c>
      <c r="K8">
        <v>5</v>
      </c>
      <c r="L8">
        <v>11</v>
      </c>
      <c r="M8">
        <v>9</v>
      </c>
      <c r="N8" s="1">
        <v>0.467</v>
      </c>
      <c r="O8" s="1">
        <v>0.219</v>
      </c>
      <c r="P8">
        <v>9788</v>
      </c>
      <c r="Q8">
        <v>136</v>
      </c>
      <c r="R8">
        <v>6</v>
      </c>
      <c r="S8">
        <v>353</v>
      </c>
      <c r="T8">
        <v>477</v>
      </c>
      <c r="U8">
        <v>0</v>
      </c>
      <c r="V8">
        <v>0</v>
      </c>
      <c r="W8">
        <v>0</v>
      </c>
      <c r="X8">
        <v>23500</v>
      </c>
      <c r="Y8">
        <v>394</v>
      </c>
      <c r="Z8">
        <v>99006</v>
      </c>
      <c r="AA8" s="1">
        <v>0.662</v>
      </c>
      <c r="AB8">
        <v>1609</v>
      </c>
      <c r="AC8" s="3">
        <v>0.300694444444444</v>
      </c>
      <c r="AD8">
        <v>8</v>
      </c>
      <c r="AE8">
        <v>3650</v>
      </c>
      <c r="AF8">
        <v>7</v>
      </c>
      <c r="AG8">
        <v>160</v>
      </c>
      <c r="AH8">
        <v>1</v>
      </c>
      <c r="AI8">
        <v>0</v>
      </c>
    </row>
    <row r="9" spans="1:35">
      <c r="A9">
        <v>260510</v>
      </c>
      <c r="B9">
        <v>2</v>
      </c>
      <c r="C9" t="s">
        <v>76</v>
      </c>
      <c r="D9" t="s">
        <v>84</v>
      </c>
      <c r="E9">
        <v>30</v>
      </c>
      <c r="F9" t="s">
        <v>35</v>
      </c>
      <c r="G9">
        <f>VLOOKUP(F9,选手工资!$A:$E,5,FALSE)</f>
        <v>3.5</v>
      </c>
      <c r="H9" t="s">
        <v>169</v>
      </c>
      <c r="I9">
        <v>5</v>
      </c>
      <c r="J9">
        <v>13</v>
      </c>
      <c r="K9">
        <v>4</v>
      </c>
      <c r="L9">
        <v>12</v>
      </c>
      <c r="M9">
        <v>11</v>
      </c>
      <c r="N9" s="1">
        <v>0.5</v>
      </c>
      <c r="O9" s="1">
        <v>0.162</v>
      </c>
      <c r="P9">
        <v>4634</v>
      </c>
      <c r="Q9">
        <v>26</v>
      </c>
      <c r="R9">
        <v>8</v>
      </c>
      <c r="S9">
        <v>241</v>
      </c>
      <c r="T9">
        <v>304</v>
      </c>
      <c r="U9">
        <v>1</v>
      </c>
      <c r="V9">
        <v>125</v>
      </c>
      <c r="W9">
        <v>0</v>
      </c>
      <c r="X9">
        <v>17385</v>
      </c>
      <c r="Y9">
        <v>0</v>
      </c>
      <c r="Z9">
        <v>26102</v>
      </c>
      <c r="AA9" s="1">
        <v>0.374</v>
      </c>
      <c r="AB9">
        <v>929</v>
      </c>
      <c r="AC9" s="3">
        <v>0.336111111111111</v>
      </c>
      <c r="AD9">
        <v>3</v>
      </c>
      <c r="AE9">
        <v>2387</v>
      </c>
      <c r="AF9">
        <v>7</v>
      </c>
      <c r="AG9">
        <v>1060</v>
      </c>
      <c r="AH9">
        <v>4</v>
      </c>
      <c r="AI9">
        <v>4</v>
      </c>
    </row>
    <row r="10" spans="1:35">
      <c r="A10">
        <v>260510</v>
      </c>
      <c r="B10">
        <v>2</v>
      </c>
      <c r="C10" t="s">
        <v>76</v>
      </c>
      <c r="D10" t="s">
        <v>84</v>
      </c>
      <c r="E10">
        <v>30</v>
      </c>
      <c r="F10" t="s">
        <v>31</v>
      </c>
      <c r="G10">
        <f>VLOOKUP(F10,选手工资!$A:$E,5,FALSE)</f>
        <v>5.5</v>
      </c>
      <c r="H10" t="s">
        <v>105</v>
      </c>
      <c r="I10">
        <v>1</v>
      </c>
      <c r="J10">
        <v>22</v>
      </c>
      <c r="K10">
        <v>15</v>
      </c>
      <c r="L10">
        <v>6</v>
      </c>
      <c r="M10">
        <v>7</v>
      </c>
      <c r="N10" s="1">
        <v>0.733</v>
      </c>
      <c r="O10" s="1">
        <v>0.336</v>
      </c>
      <c r="P10">
        <v>18449</v>
      </c>
      <c r="Q10">
        <v>238</v>
      </c>
      <c r="R10">
        <v>10</v>
      </c>
      <c r="S10">
        <v>597</v>
      </c>
      <c r="T10">
        <v>764</v>
      </c>
      <c r="U10">
        <v>0</v>
      </c>
      <c r="V10">
        <v>0</v>
      </c>
      <c r="W10">
        <v>0</v>
      </c>
      <c r="X10">
        <v>36109</v>
      </c>
      <c r="Y10">
        <v>1052</v>
      </c>
      <c r="Z10">
        <v>69733</v>
      </c>
      <c r="AA10" s="1">
        <v>0.533</v>
      </c>
      <c r="AB10">
        <v>1646</v>
      </c>
      <c r="AC10" s="3">
        <v>0.188888888888889</v>
      </c>
      <c r="AD10">
        <v>7</v>
      </c>
      <c r="AE10">
        <v>3689</v>
      </c>
      <c r="AF10">
        <v>6</v>
      </c>
      <c r="AG10">
        <v>0</v>
      </c>
      <c r="AH10">
        <v>0</v>
      </c>
      <c r="AI10">
        <v>1</v>
      </c>
    </row>
    <row r="11" spans="1:35">
      <c r="A11">
        <v>260510</v>
      </c>
      <c r="B11">
        <v>2</v>
      </c>
      <c r="C11" t="s">
        <v>76</v>
      </c>
      <c r="D11" t="s">
        <v>84</v>
      </c>
      <c r="E11">
        <v>30</v>
      </c>
      <c r="F11" t="s">
        <v>24</v>
      </c>
      <c r="G11">
        <f>VLOOKUP(F11,选手工资!$A:$E,5,FALSE)</f>
        <v>5</v>
      </c>
      <c r="H11" t="s">
        <v>170</v>
      </c>
      <c r="I11">
        <v>4</v>
      </c>
      <c r="J11">
        <v>12</v>
      </c>
      <c r="K11">
        <v>0</v>
      </c>
      <c r="L11">
        <v>13</v>
      </c>
      <c r="M11">
        <v>11</v>
      </c>
      <c r="N11" s="1">
        <v>0.367</v>
      </c>
      <c r="O11" s="1">
        <v>0.082</v>
      </c>
      <c r="P11">
        <v>5572</v>
      </c>
      <c r="Q11">
        <v>17</v>
      </c>
      <c r="R11">
        <v>1</v>
      </c>
      <c r="S11">
        <v>198</v>
      </c>
      <c r="T11">
        <v>252</v>
      </c>
      <c r="U11">
        <v>0</v>
      </c>
      <c r="V11">
        <v>480</v>
      </c>
      <c r="W11">
        <v>0</v>
      </c>
      <c r="X11">
        <v>8843</v>
      </c>
      <c r="Y11">
        <v>0</v>
      </c>
      <c r="Z11">
        <v>46053</v>
      </c>
      <c r="AA11" s="1">
        <v>0.476</v>
      </c>
      <c r="AB11">
        <v>666</v>
      </c>
      <c r="AC11" s="3">
        <v>0.304166666666667</v>
      </c>
      <c r="AD11">
        <v>4</v>
      </c>
      <c r="AE11">
        <v>1601</v>
      </c>
      <c r="AF11">
        <v>5</v>
      </c>
      <c r="AG11">
        <v>810</v>
      </c>
      <c r="AH11">
        <v>2</v>
      </c>
      <c r="AI11">
        <v>2</v>
      </c>
    </row>
    <row r="14" spans="1:35">
      <c r="A14" t="s">
        <v>90</v>
      </c>
      <c r="B14" s="4">
        <v>8805597116</v>
      </c>
      <c r="C14" s="4"/>
    </row>
    <row r="15" spans="1:35">
      <c r="A15" t="s">
        <v>91</v>
      </c>
      <c r="B15" s="7" t="s">
        <v>171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I12" sqref="I12"/>
    </sheetView>
  </sheetViews>
  <sheetFormatPr defaultColWidth="9.25" defaultRowHeight="16.8"/>
  <cols>
    <col min="6" max="6" width="21.25" customWidth="1"/>
    <col min="7" max="7" width="10.25" customWidth="1"/>
    <col min="9" max="9" width="12.875"/>
    <col min="32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260510</v>
      </c>
      <c r="B2">
        <v>3</v>
      </c>
      <c r="C2" t="s">
        <v>83</v>
      </c>
      <c r="D2" t="s">
        <v>84</v>
      </c>
      <c r="E2">
        <v>16</v>
      </c>
      <c r="F2" t="s">
        <v>31</v>
      </c>
      <c r="G2">
        <f>VLOOKUP(F2,选手工资!$A:$E,5,FALSE)</f>
        <v>5.5</v>
      </c>
      <c r="H2" t="s">
        <v>132</v>
      </c>
      <c r="I2">
        <v>5</v>
      </c>
      <c r="J2">
        <v>18</v>
      </c>
      <c r="K2">
        <v>0</v>
      </c>
      <c r="L2">
        <v>2</v>
      </c>
      <c r="M2">
        <v>4</v>
      </c>
      <c r="N2" s="1">
        <v>0.25</v>
      </c>
      <c r="O2" s="1">
        <v>0.061</v>
      </c>
      <c r="P2">
        <v>3894</v>
      </c>
      <c r="Q2">
        <v>261</v>
      </c>
      <c r="R2">
        <v>2</v>
      </c>
      <c r="S2">
        <v>482</v>
      </c>
      <c r="T2">
        <v>537</v>
      </c>
      <c r="U2">
        <v>4</v>
      </c>
      <c r="V2">
        <v>0</v>
      </c>
      <c r="W2">
        <v>0</v>
      </c>
      <c r="X2">
        <v>3890</v>
      </c>
      <c r="Y2">
        <v>0</v>
      </c>
      <c r="Z2">
        <v>10688</v>
      </c>
      <c r="AA2" s="1">
        <v>0.411</v>
      </c>
      <c r="AB2">
        <v>106</v>
      </c>
      <c r="AC2" s="3">
        <v>0.0729166666666667</v>
      </c>
      <c r="AD2">
        <v>2</v>
      </c>
      <c r="AE2">
        <v>3212</v>
      </c>
      <c r="AF2">
        <v>9</v>
      </c>
      <c r="AG2">
        <v>430</v>
      </c>
      <c r="AH2">
        <v>2</v>
      </c>
      <c r="AI2">
        <v>3</v>
      </c>
    </row>
    <row r="3" spans="1:35">
      <c r="A3">
        <v>260510</v>
      </c>
      <c r="B3">
        <v>3</v>
      </c>
      <c r="C3" t="s">
        <v>83</v>
      </c>
      <c r="D3" t="s">
        <v>84</v>
      </c>
      <c r="E3">
        <v>16</v>
      </c>
      <c r="F3" t="s">
        <v>30</v>
      </c>
      <c r="G3">
        <f>VLOOKUP(F3,选手工资!$A:$E,5,FALSE)</f>
        <v>5.5</v>
      </c>
      <c r="H3" t="s">
        <v>172</v>
      </c>
      <c r="I3">
        <v>3</v>
      </c>
      <c r="J3">
        <v>19</v>
      </c>
      <c r="K3">
        <v>1</v>
      </c>
      <c r="L3">
        <v>8</v>
      </c>
      <c r="M3">
        <v>6</v>
      </c>
      <c r="N3" s="1">
        <v>0.438</v>
      </c>
      <c r="O3" s="1">
        <v>0.279</v>
      </c>
      <c r="P3">
        <v>17247</v>
      </c>
      <c r="Q3">
        <v>220</v>
      </c>
      <c r="R3">
        <v>23</v>
      </c>
      <c r="S3">
        <v>446</v>
      </c>
      <c r="T3">
        <v>579</v>
      </c>
      <c r="U3">
        <v>0</v>
      </c>
      <c r="V3">
        <v>0</v>
      </c>
      <c r="W3">
        <v>0</v>
      </c>
      <c r="X3">
        <v>17730</v>
      </c>
      <c r="Y3">
        <v>0</v>
      </c>
      <c r="Z3">
        <v>46615</v>
      </c>
      <c r="AA3" s="1">
        <v>0.578</v>
      </c>
      <c r="AB3">
        <v>1876</v>
      </c>
      <c r="AC3" s="3">
        <v>0.188888888888889</v>
      </c>
      <c r="AD3">
        <v>6</v>
      </c>
      <c r="AE3">
        <v>3221</v>
      </c>
      <c r="AF3">
        <v>7</v>
      </c>
      <c r="AG3">
        <v>950</v>
      </c>
      <c r="AH3">
        <v>0</v>
      </c>
      <c r="AI3">
        <v>6</v>
      </c>
    </row>
    <row r="4" spans="1:35">
      <c r="A4">
        <v>260510</v>
      </c>
      <c r="B4">
        <v>3</v>
      </c>
      <c r="C4" t="s">
        <v>83</v>
      </c>
      <c r="D4" t="s">
        <v>84</v>
      </c>
      <c r="E4">
        <v>16</v>
      </c>
      <c r="F4" t="s">
        <v>17</v>
      </c>
      <c r="G4">
        <f>VLOOKUP(F4,选手工资!$A:$E,5,FALSE)</f>
        <v>8</v>
      </c>
      <c r="H4" t="s">
        <v>173</v>
      </c>
      <c r="I4">
        <v>2</v>
      </c>
      <c r="J4">
        <v>18</v>
      </c>
      <c r="K4">
        <v>10</v>
      </c>
      <c r="L4">
        <v>7</v>
      </c>
      <c r="M4">
        <v>3</v>
      </c>
      <c r="N4" s="1">
        <v>0.813</v>
      </c>
      <c r="O4" s="1">
        <v>0.312</v>
      </c>
      <c r="P4">
        <v>18670</v>
      </c>
      <c r="Q4">
        <v>197</v>
      </c>
      <c r="R4">
        <v>28</v>
      </c>
      <c r="S4">
        <v>482</v>
      </c>
      <c r="T4">
        <v>508</v>
      </c>
      <c r="U4">
        <v>2</v>
      </c>
      <c r="V4">
        <v>0</v>
      </c>
      <c r="W4">
        <v>0</v>
      </c>
      <c r="X4">
        <v>19809</v>
      </c>
      <c r="Y4">
        <v>1802</v>
      </c>
      <c r="Z4">
        <v>44404</v>
      </c>
      <c r="AA4" s="1">
        <v>0.541</v>
      </c>
      <c r="AB4">
        <v>2663</v>
      </c>
      <c r="AC4" s="3">
        <v>0.219444444444444</v>
      </c>
      <c r="AD4">
        <v>9</v>
      </c>
      <c r="AE4">
        <v>5012</v>
      </c>
      <c r="AF4">
        <v>7</v>
      </c>
      <c r="AG4">
        <v>50</v>
      </c>
      <c r="AH4">
        <v>0</v>
      </c>
      <c r="AI4">
        <v>0</v>
      </c>
    </row>
    <row r="5" spans="1:35">
      <c r="A5">
        <v>260510</v>
      </c>
      <c r="B5">
        <v>3</v>
      </c>
      <c r="C5" t="s">
        <v>83</v>
      </c>
      <c r="D5" t="s">
        <v>84</v>
      </c>
      <c r="E5">
        <v>16</v>
      </c>
      <c r="F5" t="s">
        <v>38</v>
      </c>
      <c r="G5">
        <f>VLOOKUP(F5,选手工资!$A:$E,5,FALSE)</f>
        <v>1.5</v>
      </c>
      <c r="H5" t="s">
        <v>174</v>
      </c>
      <c r="I5">
        <v>1</v>
      </c>
      <c r="J5">
        <v>19</v>
      </c>
      <c r="K5">
        <v>2</v>
      </c>
      <c r="L5">
        <v>5</v>
      </c>
      <c r="M5">
        <v>4</v>
      </c>
      <c r="N5" s="1">
        <v>0.375</v>
      </c>
      <c r="O5" s="1">
        <v>0.16</v>
      </c>
      <c r="P5">
        <v>19641</v>
      </c>
      <c r="Q5">
        <v>292</v>
      </c>
      <c r="R5">
        <v>8</v>
      </c>
      <c r="S5">
        <v>467</v>
      </c>
      <c r="T5">
        <v>555</v>
      </c>
      <c r="U5">
        <v>0</v>
      </c>
      <c r="V5">
        <v>0</v>
      </c>
      <c r="W5">
        <v>0</v>
      </c>
      <c r="X5">
        <v>10154</v>
      </c>
      <c r="Y5">
        <v>1418</v>
      </c>
      <c r="Z5">
        <v>25800</v>
      </c>
      <c r="AA5" s="1">
        <v>0.456</v>
      </c>
      <c r="AB5">
        <v>844</v>
      </c>
      <c r="AC5" s="3">
        <v>0.138194444444444</v>
      </c>
      <c r="AD5">
        <v>1</v>
      </c>
      <c r="AE5">
        <v>3643</v>
      </c>
      <c r="AF5">
        <v>6</v>
      </c>
      <c r="AG5">
        <v>0</v>
      </c>
      <c r="AH5">
        <v>1</v>
      </c>
      <c r="AI5">
        <v>0</v>
      </c>
    </row>
    <row r="6" spans="1:35">
      <c r="A6">
        <v>260510</v>
      </c>
      <c r="B6">
        <v>3</v>
      </c>
      <c r="C6" t="s">
        <v>83</v>
      </c>
      <c r="D6" t="s">
        <v>84</v>
      </c>
      <c r="E6">
        <v>16</v>
      </c>
      <c r="F6" t="s">
        <v>34</v>
      </c>
      <c r="G6">
        <f>VLOOKUP(F6,选手工资!$A:$E,5,FALSE)</f>
        <v>2</v>
      </c>
      <c r="H6" t="s">
        <v>175</v>
      </c>
      <c r="I6">
        <v>4</v>
      </c>
      <c r="J6">
        <v>15</v>
      </c>
      <c r="K6">
        <v>3</v>
      </c>
      <c r="L6">
        <v>9</v>
      </c>
      <c r="M6">
        <v>3</v>
      </c>
      <c r="N6" s="1">
        <v>0.375</v>
      </c>
      <c r="O6" s="1">
        <v>0.188</v>
      </c>
      <c r="P6">
        <v>8052</v>
      </c>
      <c r="Q6">
        <v>72</v>
      </c>
      <c r="R6">
        <v>4</v>
      </c>
      <c r="S6">
        <v>242</v>
      </c>
      <c r="T6">
        <v>351</v>
      </c>
      <c r="U6">
        <v>2</v>
      </c>
      <c r="V6">
        <v>2828</v>
      </c>
      <c r="W6">
        <v>0</v>
      </c>
      <c r="X6">
        <v>11978</v>
      </c>
      <c r="Y6">
        <v>42</v>
      </c>
      <c r="Z6">
        <v>25713</v>
      </c>
      <c r="AA6" s="1">
        <v>0.467</v>
      </c>
      <c r="AB6">
        <v>716</v>
      </c>
      <c r="AC6" s="3">
        <v>0.214583333333333</v>
      </c>
      <c r="AD6">
        <v>5</v>
      </c>
      <c r="AE6">
        <v>2191</v>
      </c>
      <c r="AF6">
        <v>5</v>
      </c>
      <c r="AG6">
        <v>250</v>
      </c>
      <c r="AH6">
        <v>6</v>
      </c>
      <c r="AI6">
        <v>6</v>
      </c>
    </row>
    <row r="7" spans="1:35">
      <c r="A7">
        <v>260510</v>
      </c>
      <c r="B7">
        <v>3</v>
      </c>
      <c r="C7" t="s">
        <v>76</v>
      </c>
      <c r="D7" t="s">
        <v>77</v>
      </c>
      <c r="E7">
        <v>31</v>
      </c>
      <c r="F7" t="s">
        <v>28</v>
      </c>
      <c r="G7">
        <f>VLOOKUP(F7,选手工资!$A:$E,5,FALSE)</f>
        <v>5</v>
      </c>
      <c r="H7" t="s">
        <v>102</v>
      </c>
      <c r="I7">
        <v>2</v>
      </c>
      <c r="J7">
        <v>20</v>
      </c>
      <c r="K7">
        <v>5</v>
      </c>
      <c r="L7">
        <v>4</v>
      </c>
      <c r="M7">
        <v>10</v>
      </c>
      <c r="N7" s="1">
        <v>0.484</v>
      </c>
      <c r="O7" s="1">
        <v>0.227</v>
      </c>
      <c r="P7">
        <v>17401</v>
      </c>
      <c r="Q7">
        <v>222</v>
      </c>
      <c r="R7">
        <v>1</v>
      </c>
      <c r="S7">
        <v>502</v>
      </c>
      <c r="T7">
        <v>638</v>
      </c>
      <c r="U7">
        <v>3</v>
      </c>
      <c r="V7">
        <v>0</v>
      </c>
      <c r="W7">
        <v>0</v>
      </c>
      <c r="X7">
        <v>16827</v>
      </c>
      <c r="Y7">
        <v>5214</v>
      </c>
      <c r="Z7">
        <v>20622</v>
      </c>
      <c r="AA7" s="1">
        <v>0.43</v>
      </c>
      <c r="AB7">
        <v>630</v>
      </c>
      <c r="AC7" s="3">
        <v>0.0993055555555555</v>
      </c>
      <c r="AD7">
        <v>10</v>
      </c>
      <c r="AE7">
        <v>3218</v>
      </c>
      <c r="AF7">
        <v>7</v>
      </c>
      <c r="AG7">
        <v>0</v>
      </c>
      <c r="AH7">
        <v>5</v>
      </c>
      <c r="AI7">
        <v>0</v>
      </c>
    </row>
    <row r="8" spans="1:35">
      <c r="A8">
        <v>260510</v>
      </c>
      <c r="B8">
        <v>3</v>
      </c>
      <c r="C8" t="s">
        <v>76</v>
      </c>
      <c r="D8" t="s">
        <v>77</v>
      </c>
      <c r="E8">
        <v>31</v>
      </c>
      <c r="F8" t="s">
        <v>18</v>
      </c>
      <c r="G8">
        <f>VLOOKUP(F8,选手工资!$A:$E,5,FALSE)</f>
        <v>5.5</v>
      </c>
      <c r="H8" t="s">
        <v>176</v>
      </c>
      <c r="I8">
        <v>1</v>
      </c>
      <c r="J8">
        <v>24</v>
      </c>
      <c r="K8">
        <v>16</v>
      </c>
      <c r="L8">
        <v>2</v>
      </c>
      <c r="M8">
        <v>5</v>
      </c>
      <c r="N8" s="1">
        <v>0.677</v>
      </c>
      <c r="O8" s="1">
        <v>0.403</v>
      </c>
      <c r="P8">
        <v>28152</v>
      </c>
      <c r="Q8">
        <v>364</v>
      </c>
      <c r="R8">
        <v>14</v>
      </c>
      <c r="S8">
        <v>811</v>
      </c>
      <c r="T8">
        <v>924</v>
      </c>
      <c r="U8">
        <v>1</v>
      </c>
      <c r="V8">
        <v>0</v>
      </c>
      <c r="W8">
        <v>0</v>
      </c>
      <c r="X8">
        <v>29872</v>
      </c>
      <c r="Y8">
        <v>15719</v>
      </c>
      <c r="Z8">
        <v>29130</v>
      </c>
      <c r="AA8" s="1">
        <v>0.569</v>
      </c>
      <c r="AB8">
        <v>654</v>
      </c>
      <c r="AC8" s="3">
        <v>0.0784722222222222</v>
      </c>
      <c r="AD8">
        <v>7</v>
      </c>
      <c r="AE8">
        <v>5210</v>
      </c>
      <c r="AF8">
        <v>8</v>
      </c>
      <c r="AG8">
        <v>0</v>
      </c>
      <c r="AH8">
        <v>1</v>
      </c>
      <c r="AI8">
        <v>0</v>
      </c>
    </row>
    <row r="9" spans="1:35">
      <c r="A9">
        <v>260510</v>
      </c>
      <c r="B9">
        <v>3</v>
      </c>
      <c r="C9" t="s">
        <v>76</v>
      </c>
      <c r="D9" t="s">
        <v>77</v>
      </c>
      <c r="E9">
        <v>31</v>
      </c>
      <c r="F9" t="s">
        <v>36</v>
      </c>
      <c r="G9">
        <f>VLOOKUP(F9,选手工资!$A:$E,5,FALSE)</f>
        <v>3</v>
      </c>
      <c r="H9" t="s">
        <v>177</v>
      </c>
      <c r="I9">
        <v>3</v>
      </c>
      <c r="J9">
        <v>20</v>
      </c>
      <c r="K9">
        <v>6</v>
      </c>
      <c r="L9">
        <v>3</v>
      </c>
      <c r="M9">
        <v>15</v>
      </c>
      <c r="N9" s="1">
        <v>0.677</v>
      </c>
      <c r="O9" s="1">
        <v>0.169</v>
      </c>
      <c r="P9">
        <v>18446</v>
      </c>
      <c r="Q9">
        <v>196</v>
      </c>
      <c r="R9">
        <v>7</v>
      </c>
      <c r="S9">
        <v>528</v>
      </c>
      <c r="T9">
        <v>639</v>
      </c>
      <c r="U9">
        <v>4</v>
      </c>
      <c r="V9">
        <v>0</v>
      </c>
      <c r="W9">
        <v>0</v>
      </c>
      <c r="X9">
        <v>12500</v>
      </c>
      <c r="Y9">
        <v>4207</v>
      </c>
      <c r="Z9">
        <v>26974</v>
      </c>
      <c r="AA9" s="1">
        <v>0.37</v>
      </c>
      <c r="AB9">
        <v>409</v>
      </c>
      <c r="AC9" s="3">
        <v>0.0659722222222222</v>
      </c>
      <c r="AD9">
        <v>8</v>
      </c>
      <c r="AE9">
        <v>4368</v>
      </c>
      <c r="AF9">
        <v>6</v>
      </c>
      <c r="AG9">
        <v>0</v>
      </c>
      <c r="AH9">
        <v>0</v>
      </c>
      <c r="AI9">
        <v>0</v>
      </c>
    </row>
    <row r="10" spans="1:35">
      <c r="A10">
        <v>260510</v>
      </c>
      <c r="B10">
        <v>3</v>
      </c>
      <c r="C10" t="s">
        <v>76</v>
      </c>
      <c r="D10" t="s">
        <v>77</v>
      </c>
      <c r="E10">
        <v>31</v>
      </c>
      <c r="F10" t="s">
        <v>33</v>
      </c>
      <c r="G10">
        <f>VLOOKUP(F10,选手工资!$A:$E,5,FALSE)</f>
        <v>4.5</v>
      </c>
      <c r="H10" t="s">
        <v>137</v>
      </c>
      <c r="I10">
        <v>5</v>
      </c>
      <c r="J10">
        <v>19</v>
      </c>
      <c r="K10">
        <v>1</v>
      </c>
      <c r="L10">
        <v>2</v>
      </c>
      <c r="M10">
        <v>23</v>
      </c>
      <c r="N10" s="1">
        <v>0.774</v>
      </c>
      <c r="O10" s="1">
        <v>0.104</v>
      </c>
      <c r="P10">
        <v>11120</v>
      </c>
      <c r="Q10">
        <v>97</v>
      </c>
      <c r="R10">
        <v>0</v>
      </c>
      <c r="S10">
        <v>351</v>
      </c>
      <c r="T10">
        <v>552</v>
      </c>
      <c r="U10">
        <v>1</v>
      </c>
      <c r="V10">
        <v>14920</v>
      </c>
      <c r="W10">
        <v>0</v>
      </c>
      <c r="X10">
        <v>7690</v>
      </c>
      <c r="Y10">
        <v>412</v>
      </c>
      <c r="Z10">
        <v>19687</v>
      </c>
      <c r="AA10" s="1">
        <v>0.446</v>
      </c>
      <c r="AB10">
        <v>275</v>
      </c>
      <c r="AC10" s="3">
        <v>0.00277777777777778</v>
      </c>
      <c r="AD10">
        <v>3</v>
      </c>
      <c r="AE10">
        <v>2593</v>
      </c>
      <c r="AF10">
        <v>6</v>
      </c>
      <c r="AG10">
        <v>1150</v>
      </c>
      <c r="AH10">
        <v>1</v>
      </c>
      <c r="AI10">
        <v>2</v>
      </c>
    </row>
    <row r="11" spans="1:35">
      <c r="A11">
        <v>260510</v>
      </c>
      <c r="B11">
        <v>3</v>
      </c>
      <c r="C11" t="s">
        <v>76</v>
      </c>
      <c r="D11" t="s">
        <v>77</v>
      </c>
      <c r="E11">
        <v>31</v>
      </c>
      <c r="F11" t="s">
        <v>24</v>
      </c>
      <c r="G11">
        <f>VLOOKUP(F11,选手工资!$A:$E,5,FALSE)</f>
        <v>5</v>
      </c>
      <c r="H11" t="s">
        <v>178</v>
      </c>
      <c r="I11">
        <v>4</v>
      </c>
      <c r="J11">
        <v>17</v>
      </c>
      <c r="K11">
        <v>3</v>
      </c>
      <c r="L11">
        <v>5</v>
      </c>
      <c r="M11">
        <v>16</v>
      </c>
      <c r="N11" s="1">
        <v>0.613</v>
      </c>
      <c r="O11" s="1">
        <v>0.097</v>
      </c>
      <c r="P11">
        <v>14603</v>
      </c>
      <c r="Q11">
        <v>71</v>
      </c>
      <c r="R11">
        <v>1</v>
      </c>
      <c r="S11">
        <v>386</v>
      </c>
      <c r="T11">
        <v>474</v>
      </c>
      <c r="U11">
        <v>2</v>
      </c>
      <c r="V11">
        <v>12500</v>
      </c>
      <c r="W11">
        <v>0</v>
      </c>
      <c r="X11">
        <v>7167</v>
      </c>
      <c r="Y11">
        <v>360</v>
      </c>
      <c r="Z11">
        <v>15308</v>
      </c>
      <c r="AA11" s="1">
        <v>0.258</v>
      </c>
      <c r="AB11">
        <v>365</v>
      </c>
      <c r="AC11" s="3">
        <v>0.10625</v>
      </c>
      <c r="AD11">
        <v>4</v>
      </c>
      <c r="AE11">
        <v>2013</v>
      </c>
      <c r="AF11">
        <v>5</v>
      </c>
      <c r="AG11">
        <v>500</v>
      </c>
      <c r="AH11">
        <v>5</v>
      </c>
      <c r="AI11">
        <v>1</v>
      </c>
    </row>
    <row r="14" spans="1:35">
      <c r="A14" t="s">
        <v>90</v>
      </c>
      <c r="B14" s="4">
        <v>8805669010</v>
      </c>
      <c r="C14" s="4"/>
    </row>
    <row r="15" spans="1:35">
      <c r="A15" t="s">
        <v>91</v>
      </c>
      <c r="B15" s="7" t="s">
        <v>179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S2" activePane="bottomRight" state="frozen"/>
      <selection/>
      <selection pane="topRight"/>
      <selection pane="bottomLeft"/>
      <selection pane="bottomRight" activeCell="AG1" sqref="AG$1:AI$1048576"/>
    </sheetView>
  </sheetViews>
  <sheetFormatPr defaultColWidth="9.25" defaultRowHeight="16.8"/>
  <cols>
    <col min="7" max="7" width="10.25" customWidth="1"/>
    <col min="9" max="9" width="12.875"/>
    <col min="31" max="31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260511</v>
      </c>
      <c r="B2">
        <v>1</v>
      </c>
      <c r="C2" t="s">
        <v>83</v>
      </c>
      <c r="D2" t="s">
        <v>77</v>
      </c>
      <c r="E2">
        <v>42</v>
      </c>
      <c r="F2" t="s">
        <v>29</v>
      </c>
      <c r="G2">
        <f>VLOOKUP(F2,选手工资!$A:$F,6,FALSE)</f>
        <v>4.5</v>
      </c>
      <c r="H2" t="s">
        <v>159</v>
      </c>
      <c r="I2">
        <v>3</v>
      </c>
      <c r="J2">
        <v>21</v>
      </c>
      <c r="K2">
        <v>13</v>
      </c>
      <c r="L2">
        <v>3</v>
      </c>
      <c r="M2">
        <v>12</v>
      </c>
      <c r="N2" s="1">
        <v>0.595</v>
      </c>
      <c r="O2" s="1">
        <v>0.207</v>
      </c>
      <c r="P2">
        <v>17243</v>
      </c>
      <c r="Q2">
        <v>174</v>
      </c>
      <c r="R2">
        <v>5</v>
      </c>
      <c r="S2">
        <v>541</v>
      </c>
      <c r="T2">
        <v>737</v>
      </c>
      <c r="U2">
        <v>0</v>
      </c>
      <c r="V2">
        <v>0</v>
      </c>
      <c r="W2">
        <v>1</v>
      </c>
      <c r="X2">
        <v>23995</v>
      </c>
      <c r="Y2">
        <v>4444</v>
      </c>
      <c r="Z2">
        <v>30505</v>
      </c>
      <c r="AA2" s="1">
        <v>0.376</v>
      </c>
      <c r="AB2">
        <v>370</v>
      </c>
      <c r="AC2" s="3">
        <v>0.0895833333333333</v>
      </c>
      <c r="AD2">
        <v>6</v>
      </c>
      <c r="AE2">
        <v>3353</v>
      </c>
      <c r="AF2">
        <v>8</v>
      </c>
      <c r="AG2">
        <v>100</v>
      </c>
      <c r="AH2">
        <v>0</v>
      </c>
      <c r="AI2">
        <v>1</v>
      </c>
    </row>
    <row r="3" spans="1:35">
      <c r="A3">
        <v>260511</v>
      </c>
      <c r="B3">
        <v>1</v>
      </c>
      <c r="C3" t="s">
        <v>83</v>
      </c>
      <c r="D3" t="s">
        <v>77</v>
      </c>
      <c r="E3">
        <v>42</v>
      </c>
      <c r="F3" t="s">
        <v>20</v>
      </c>
      <c r="G3">
        <f>VLOOKUP(F3,选手工资!$A:$F,6,FALSE)</f>
        <v>7.5</v>
      </c>
      <c r="H3" t="s">
        <v>105</v>
      </c>
      <c r="I3">
        <v>1</v>
      </c>
      <c r="J3">
        <v>22</v>
      </c>
      <c r="K3">
        <v>11</v>
      </c>
      <c r="L3">
        <v>1</v>
      </c>
      <c r="M3">
        <v>16</v>
      </c>
      <c r="N3" s="1">
        <v>0.643</v>
      </c>
      <c r="O3" s="1">
        <v>0.21</v>
      </c>
      <c r="P3">
        <v>22452</v>
      </c>
      <c r="Q3">
        <v>312</v>
      </c>
      <c r="R3">
        <v>13</v>
      </c>
      <c r="S3">
        <v>695</v>
      </c>
      <c r="T3">
        <v>787</v>
      </c>
      <c r="U3">
        <v>2</v>
      </c>
      <c r="V3">
        <v>0</v>
      </c>
      <c r="W3">
        <v>0</v>
      </c>
      <c r="X3">
        <v>24299</v>
      </c>
      <c r="Y3">
        <v>9346</v>
      </c>
      <c r="Z3">
        <v>26457</v>
      </c>
      <c r="AA3" s="1">
        <v>0.354</v>
      </c>
      <c r="AB3">
        <v>531</v>
      </c>
      <c r="AC3" s="3">
        <v>0.0590277777777778</v>
      </c>
      <c r="AD3">
        <v>5</v>
      </c>
      <c r="AE3">
        <v>5136</v>
      </c>
      <c r="AF3">
        <v>7</v>
      </c>
      <c r="AG3">
        <v>0</v>
      </c>
      <c r="AH3">
        <v>0</v>
      </c>
      <c r="AI3">
        <v>2</v>
      </c>
    </row>
    <row r="4" spans="1:35">
      <c r="A4">
        <v>260511</v>
      </c>
      <c r="B4">
        <v>1</v>
      </c>
      <c r="C4" t="s">
        <v>83</v>
      </c>
      <c r="D4" t="s">
        <v>77</v>
      </c>
      <c r="E4">
        <v>42</v>
      </c>
      <c r="F4" t="s">
        <v>35</v>
      </c>
      <c r="G4">
        <f>VLOOKUP(F4,选手工资!$A:$F,6,FALSE)</f>
        <v>2.5</v>
      </c>
      <c r="H4" t="s">
        <v>140</v>
      </c>
      <c r="I4">
        <v>5</v>
      </c>
      <c r="J4">
        <v>20</v>
      </c>
      <c r="K4">
        <v>4</v>
      </c>
      <c r="L4">
        <v>2</v>
      </c>
      <c r="M4">
        <v>22</v>
      </c>
      <c r="N4" s="1">
        <v>0.619</v>
      </c>
      <c r="O4" s="1">
        <v>0.126</v>
      </c>
      <c r="P4">
        <v>10747</v>
      </c>
      <c r="Q4">
        <v>35</v>
      </c>
      <c r="R4">
        <v>1</v>
      </c>
      <c r="S4">
        <v>369</v>
      </c>
      <c r="T4">
        <v>644</v>
      </c>
      <c r="U4">
        <v>3</v>
      </c>
      <c r="V4">
        <v>0</v>
      </c>
      <c r="W4">
        <v>0</v>
      </c>
      <c r="X4">
        <v>14606</v>
      </c>
      <c r="Y4">
        <v>537</v>
      </c>
      <c r="Z4">
        <v>13057</v>
      </c>
      <c r="AA4" s="1">
        <v>0.43</v>
      </c>
      <c r="AB4">
        <v>138</v>
      </c>
      <c r="AC4" s="3">
        <v>0.0451388888888889</v>
      </c>
      <c r="AD4">
        <v>1</v>
      </c>
      <c r="AE4">
        <v>1651</v>
      </c>
      <c r="AF4">
        <v>7</v>
      </c>
      <c r="AG4">
        <v>1050</v>
      </c>
      <c r="AH4">
        <v>0</v>
      </c>
      <c r="AI4">
        <v>8</v>
      </c>
    </row>
    <row r="5" spans="1:35">
      <c r="A5">
        <v>260511</v>
      </c>
      <c r="B5">
        <v>1</v>
      </c>
      <c r="C5" t="s">
        <v>83</v>
      </c>
      <c r="D5" t="s">
        <v>77</v>
      </c>
      <c r="E5">
        <v>42</v>
      </c>
      <c r="F5" t="s">
        <v>19</v>
      </c>
      <c r="G5">
        <f>VLOOKUP(F5,选手工资!$A:$F,6,FALSE)</f>
        <v>8.5</v>
      </c>
      <c r="H5" t="s">
        <v>180</v>
      </c>
      <c r="I5">
        <v>2</v>
      </c>
      <c r="J5">
        <v>21</v>
      </c>
      <c r="K5">
        <v>7</v>
      </c>
      <c r="L5">
        <v>7</v>
      </c>
      <c r="M5">
        <v>17</v>
      </c>
      <c r="N5" s="1">
        <v>0.571</v>
      </c>
      <c r="O5" s="1">
        <v>0.255</v>
      </c>
      <c r="P5">
        <v>15700</v>
      </c>
      <c r="Q5">
        <v>189</v>
      </c>
      <c r="R5">
        <v>5</v>
      </c>
      <c r="S5">
        <v>518</v>
      </c>
      <c r="T5">
        <v>719</v>
      </c>
      <c r="U5">
        <v>5</v>
      </c>
      <c r="V5">
        <v>0</v>
      </c>
      <c r="W5">
        <v>0</v>
      </c>
      <c r="X5">
        <v>29505</v>
      </c>
      <c r="Y5">
        <v>2555</v>
      </c>
      <c r="Z5">
        <v>62157</v>
      </c>
      <c r="AA5" s="1">
        <v>0.52</v>
      </c>
      <c r="AB5">
        <v>858</v>
      </c>
      <c r="AC5" s="3">
        <v>0.145138888888889</v>
      </c>
      <c r="AD5">
        <v>9</v>
      </c>
      <c r="AE5">
        <v>3598</v>
      </c>
      <c r="AF5">
        <v>6</v>
      </c>
      <c r="AG5">
        <v>50</v>
      </c>
      <c r="AH5">
        <v>0</v>
      </c>
      <c r="AI5">
        <v>0</v>
      </c>
    </row>
    <row r="6" spans="1:35">
      <c r="A6">
        <v>260511</v>
      </c>
      <c r="B6">
        <v>1</v>
      </c>
      <c r="C6" t="s">
        <v>83</v>
      </c>
      <c r="D6" t="s">
        <v>77</v>
      </c>
      <c r="E6">
        <v>42</v>
      </c>
      <c r="F6" t="s">
        <v>36</v>
      </c>
      <c r="G6">
        <f>VLOOKUP(F6,选手工资!$A:$F,6,FALSE)</f>
        <v>3.5</v>
      </c>
      <c r="H6" t="s">
        <v>133</v>
      </c>
      <c r="I6">
        <v>4</v>
      </c>
      <c r="J6">
        <v>17</v>
      </c>
      <c r="K6">
        <v>7</v>
      </c>
      <c r="L6">
        <v>8</v>
      </c>
      <c r="M6">
        <v>13</v>
      </c>
      <c r="N6" s="1">
        <v>0.476</v>
      </c>
      <c r="O6" s="1">
        <v>0.201</v>
      </c>
      <c r="P6">
        <v>12980</v>
      </c>
      <c r="Q6">
        <v>86</v>
      </c>
      <c r="R6">
        <v>1</v>
      </c>
      <c r="S6">
        <v>359</v>
      </c>
      <c r="T6">
        <v>485</v>
      </c>
      <c r="U6">
        <v>0</v>
      </c>
      <c r="V6">
        <v>0</v>
      </c>
      <c r="W6">
        <v>0</v>
      </c>
      <c r="X6">
        <v>23294</v>
      </c>
      <c r="Y6">
        <v>1022</v>
      </c>
      <c r="Z6">
        <v>19025</v>
      </c>
      <c r="AA6" s="1">
        <v>0.363</v>
      </c>
      <c r="AB6">
        <v>659</v>
      </c>
      <c r="AC6" s="3">
        <v>0.1625</v>
      </c>
      <c r="AD6">
        <v>2</v>
      </c>
      <c r="AE6">
        <v>1715</v>
      </c>
      <c r="AF6">
        <v>5</v>
      </c>
      <c r="AG6">
        <v>350</v>
      </c>
      <c r="AH6">
        <v>2</v>
      </c>
      <c r="AI6">
        <v>6</v>
      </c>
    </row>
    <row r="7" spans="1:35">
      <c r="A7">
        <v>260511</v>
      </c>
      <c r="B7">
        <v>1</v>
      </c>
      <c r="C7" t="s">
        <v>76</v>
      </c>
      <c r="D7" t="s">
        <v>84</v>
      </c>
      <c r="E7">
        <v>21</v>
      </c>
      <c r="F7" t="s">
        <v>14</v>
      </c>
      <c r="G7">
        <f>VLOOKUP(F7,选手工资!$A:$F,6,FALSE)</f>
        <v>8</v>
      </c>
      <c r="H7" t="s">
        <v>148</v>
      </c>
      <c r="I7">
        <v>2</v>
      </c>
      <c r="J7">
        <v>20</v>
      </c>
      <c r="K7">
        <v>8</v>
      </c>
      <c r="L7">
        <v>8</v>
      </c>
      <c r="M7">
        <v>7</v>
      </c>
      <c r="N7" s="1">
        <v>0.714</v>
      </c>
      <c r="O7" s="1">
        <v>0.336</v>
      </c>
      <c r="P7">
        <v>15691</v>
      </c>
      <c r="Q7">
        <v>263</v>
      </c>
      <c r="R7">
        <v>9</v>
      </c>
      <c r="S7">
        <v>512</v>
      </c>
      <c r="T7">
        <v>635</v>
      </c>
      <c r="U7">
        <v>3</v>
      </c>
      <c r="V7">
        <v>0</v>
      </c>
      <c r="W7">
        <v>0</v>
      </c>
      <c r="X7">
        <v>28761</v>
      </c>
      <c r="Y7">
        <v>112</v>
      </c>
      <c r="Z7">
        <v>61102</v>
      </c>
      <c r="AA7" s="1">
        <v>0.452</v>
      </c>
      <c r="AB7">
        <v>1706</v>
      </c>
      <c r="AC7" s="3">
        <v>0.265277777777778</v>
      </c>
      <c r="AD7">
        <v>10</v>
      </c>
      <c r="AE7">
        <v>4573</v>
      </c>
      <c r="AF7">
        <v>9</v>
      </c>
      <c r="AG7">
        <v>50</v>
      </c>
      <c r="AH7">
        <v>2</v>
      </c>
      <c r="AI7">
        <v>3</v>
      </c>
    </row>
    <row r="8" spans="1:35">
      <c r="A8">
        <v>260511</v>
      </c>
      <c r="B8">
        <v>1</v>
      </c>
      <c r="C8" t="s">
        <v>76</v>
      </c>
      <c r="D8" t="s">
        <v>84</v>
      </c>
      <c r="E8">
        <v>21</v>
      </c>
      <c r="F8" t="s">
        <v>25</v>
      </c>
      <c r="G8">
        <f>VLOOKUP(F8,选手工资!$A:$F,6,FALSE)</f>
        <v>6.5</v>
      </c>
      <c r="H8" t="s">
        <v>93</v>
      </c>
      <c r="I8">
        <v>1</v>
      </c>
      <c r="J8">
        <v>20</v>
      </c>
      <c r="K8">
        <v>4</v>
      </c>
      <c r="L8">
        <v>8</v>
      </c>
      <c r="M8">
        <v>6</v>
      </c>
      <c r="N8" s="1">
        <v>0.476</v>
      </c>
      <c r="O8" s="1">
        <v>0.191</v>
      </c>
      <c r="P8">
        <v>16272</v>
      </c>
      <c r="Q8">
        <v>319</v>
      </c>
      <c r="R8">
        <v>14</v>
      </c>
      <c r="S8">
        <v>489</v>
      </c>
      <c r="T8">
        <v>629</v>
      </c>
      <c r="U8">
        <v>1</v>
      </c>
      <c r="V8">
        <v>3442</v>
      </c>
      <c r="W8">
        <v>0</v>
      </c>
      <c r="X8">
        <v>16309</v>
      </c>
      <c r="Y8">
        <v>0</v>
      </c>
      <c r="Z8">
        <v>44078</v>
      </c>
      <c r="AA8" s="1">
        <v>0.503</v>
      </c>
      <c r="AB8">
        <v>799</v>
      </c>
      <c r="AC8" s="3">
        <v>0.221527777777778</v>
      </c>
      <c r="AD8">
        <v>8</v>
      </c>
      <c r="AE8">
        <v>3839</v>
      </c>
      <c r="AF8">
        <v>6</v>
      </c>
      <c r="AG8">
        <v>0</v>
      </c>
      <c r="AH8">
        <v>3</v>
      </c>
      <c r="AI8">
        <v>0</v>
      </c>
    </row>
    <row r="9" spans="1:35">
      <c r="A9">
        <v>260511</v>
      </c>
      <c r="B9">
        <v>1</v>
      </c>
      <c r="C9" t="s">
        <v>76</v>
      </c>
      <c r="D9" t="s">
        <v>84</v>
      </c>
      <c r="E9">
        <v>21</v>
      </c>
      <c r="F9" t="s">
        <v>22</v>
      </c>
      <c r="G9">
        <f>VLOOKUP(F9,选手工资!$A:$F,6,FALSE)</f>
        <v>7</v>
      </c>
      <c r="H9" t="s">
        <v>172</v>
      </c>
      <c r="I9">
        <v>3</v>
      </c>
      <c r="J9">
        <v>17</v>
      </c>
      <c r="K9">
        <v>2</v>
      </c>
      <c r="L9">
        <v>10</v>
      </c>
      <c r="M9">
        <v>10</v>
      </c>
      <c r="N9" s="1">
        <v>0.571</v>
      </c>
      <c r="O9" s="1">
        <v>0.197</v>
      </c>
      <c r="P9">
        <v>11518</v>
      </c>
      <c r="Q9">
        <v>152</v>
      </c>
      <c r="R9">
        <v>3</v>
      </c>
      <c r="S9">
        <v>365</v>
      </c>
      <c r="T9">
        <v>496</v>
      </c>
      <c r="U9">
        <v>2</v>
      </c>
      <c r="V9">
        <v>0</v>
      </c>
      <c r="W9">
        <v>0</v>
      </c>
      <c r="X9">
        <v>16838</v>
      </c>
      <c r="Y9">
        <v>0</v>
      </c>
      <c r="Z9">
        <v>45246</v>
      </c>
      <c r="AA9" s="1">
        <v>0.414</v>
      </c>
      <c r="AB9">
        <v>1416</v>
      </c>
      <c r="AC9" s="3">
        <v>0.2375</v>
      </c>
      <c r="AD9">
        <v>7</v>
      </c>
      <c r="AE9">
        <v>2890</v>
      </c>
      <c r="AF9">
        <v>6</v>
      </c>
      <c r="AG9">
        <v>0</v>
      </c>
      <c r="AH9">
        <v>1</v>
      </c>
      <c r="AI9">
        <v>0</v>
      </c>
    </row>
    <row r="10" spans="1:35">
      <c r="A10">
        <v>260511</v>
      </c>
      <c r="B10">
        <v>1</v>
      </c>
      <c r="C10" t="s">
        <v>76</v>
      </c>
      <c r="D10" t="s">
        <v>84</v>
      </c>
      <c r="E10">
        <v>21</v>
      </c>
      <c r="F10" t="s">
        <v>41</v>
      </c>
      <c r="G10">
        <f>VLOOKUP(F10,选手工资!$A:$F,6,FALSE)</f>
        <v>2.5</v>
      </c>
      <c r="H10" t="s">
        <v>112</v>
      </c>
      <c r="I10">
        <v>5</v>
      </c>
      <c r="J10">
        <v>12</v>
      </c>
      <c r="K10">
        <v>3</v>
      </c>
      <c r="L10">
        <v>9</v>
      </c>
      <c r="M10">
        <v>10</v>
      </c>
      <c r="N10" s="1">
        <v>0.619</v>
      </c>
      <c r="O10" s="1">
        <v>0.153</v>
      </c>
      <c r="P10">
        <v>7136</v>
      </c>
      <c r="Q10">
        <v>36</v>
      </c>
      <c r="R10">
        <v>4</v>
      </c>
      <c r="S10">
        <v>271</v>
      </c>
      <c r="T10">
        <v>260</v>
      </c>
      <c r="U10">
        <v>2</v>
      </c>
      <c r="V10">
        <v>0</v>
      </c>
      <c r="W10">
        <v>0</v>
      </c>
      <c r="X10">
        <v>13112</v>
      </c>
      <c r="Y10">
        <v>0</v>
      </c>
      <c r="Z10">
        <v>23918</v>
      </c>
      <c r="AA10" s="1">
        <v>0.294</v>
      </c>
      <c r="AB10">
        <v>557</v>
      </c>
      <c r="AC10" s="3">
        <v>0.2</v>
      </c>
      <c r="AD10">
        <v>4</v>
      </c>
      <c r="AE10">
        <v>2238</v>
      </c>
      <c r="AF10">
        <v>6</v>
      </c>
      <c r="AG10">
        <v>700</v>
      </c>
      <c r="AH10">
        <v>1</v>
      </c>
      <c r="AI10">
        <v>11</v>
      </c>
    </row>
    <row r="11" spans="1:35">
      <c r="A11">
        <v>260511</v>
      </c>
      <c r="B11">
        <v>1</v>
      </c>
      <c r="C11" t="s">
        <v>76</v>
      </c>
      <c r="D11" t="s">
        <v>84</v>
      </c>
      <c r="E11">
        <v>21</v>
      </c>
      <c r="F11" t="s">
        <v>40</v>
      </c>
      <c r="G11">
        <f>VLOOKUP(F11,选手工资!$A:$F,6,FALSE)</f>
        <v>3</v>
      </c>
      <c r="H11" t="s">
        <v>95</v>
      </c>
      <c r="I11">
        <v>4</v>
      </c>
      <c r="J11">
        <v>15</v>
      </c>
      <c r="K11">
        <v>3</v>
      </c>
      <c r="L11">
        <v>7</v>
      </c>
      <c r="M11">
        <v>4</v>
      </c>
      <c r="N11" s="1">
        <v>0.333</v>
      </c>
      <c r="O11" s="1">
        <v>0.123</v>
      </c>
      <c r="P11">
        <v>8499</v>
      </c>
      <c r="Q11">
        <v>61</v>
      </c>
      <c r="R11">
        <v>3</v>
      </c>
      <c r="S11">
        <v>259</v>
      </c>
      <c r="T11">
        <v>397</v>
      </c>
      <c r="U11">
        <v>1</v>
      </c>
      <c r="V11">
        <v>0</v>
      </c>
      <c r="W11">
        <v>0</v>
      </c>
      <c r="X11">
        <v>10486</v>
      </c>
      <c r="Y11">
        <v>0</v>
      </c>
      <c r="Z11">
        <v>25314</v>
      </c>
      <c r="AA11" s="1">
        <v>0.33</v>
      </c>
      <c r="AB11">
        <v>156</v>
      </c>
      <c r="AC11" s="3">
        <v>0.144444444444444</v>
      </c>
      <c r="AD11">
        <v>3</v>
      </c>
      <c r="AE11">
        <v>1856</v>
      </c>
      <c r="AF11">
        <v>5</v>
      </c>
      <c r="AG11">
        <v>550</v>
      </c>
      <c r="AH11">
        <v>1</v>
      </c>
      <c r="AI11">
        <v>7</v>
      </c>
    </row>
    <row r="14" spans="1:35">
      <c r="A14" t="s">
        <v>90</v>
      </c>
      <c r="B14" s="4">
        <v>8806870234</v>
      </c>
      <c r="C14" s="4"/>
    </row>
    <row r="15" spans="1:35">
      <c r="A15" t="s">
        <v>91</v>
      </c>
      <c r="B15" s="7" t="s">
        <v>181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Y2" activePane="bottomRight" state="frozen"/>
      <selection/>
      <selection pane="topRight"/>
      <selection pane="bottomLeft"/>
      <selection pane="bottomRight" activeCell="AG1" sqref="AG$1:AI$1048576"/>
    </sheetView>
  </sheetViews>
  <sheetFormatPr defaultColWidth="9.25" defaultRowHeight="16.8"/>
  <cols>
    <col min="7" max="7" width="10.25" customWidth="1"/>
    <col min="9" max="9" width="12.875"/>
    <col min="32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260511</v>
      </c>
      <c r="B2">
        <v>2</v>
      </c>
      <c r="C2" t="s">
        <v>83</v>
      </c>
      <c r="D2" t="s">
        <v>77</v>
      </c>
      <c r="E2">
        <v>30</v>
      </c>
      <c r="F2" t="s">
        <v>14</v>
      </c>
      <c r="G2">
        <f>VLOOKUP(F2,选手工资!$A:$F,6,FALSE)</f>
        <v>8</v>
      </c>
      <c r="H2" t="s">
        <v>103</v>
      </c>
      <c r="I2">
        <v>2</v>
      </c>
      <c r="J2">
        <v>17</v>
      </c>
      <c r="K2">
        <v>7</v>
      </c>
      <c r="L2">
        <v>3</v>
      </c>
      <c r="M2">
        <v>18</v>
      </c>
      <c r="N2" s="1">
        <v>0.833</v>
      </c>
      <c r="O2" s="1">
        <v>0.34</v>
      </c>
      <c r="P2">
        <v>14114</v>
      </c>
      <c r="Q2">
        <v>155</v>
      </c>
      <c r="R2">
        <v>9</v>
      </c>
      <c r="S2">
        <v>536</v>
      </c>
      <c r="T2">
        <v>643</v>
      </c>
      <c r="U2">
        <v>4</v>
      </c>
      <c r="V2">
        <v>0</v>
      </c>
      <c r="W2">
        <v>0</v>
      </c>
      <c r="X2">
        <v>28168</v>
      </c>
      <c r="Y2">
        <v>1148</v>
      </c>
      <c r="Z2">
        <v>21870</v>
      </c>
      <c r="AA2" s="1">
        <v>0.537</v>
      </c>
      <c r="AB2">
        <v>414</v>
      </c>
      <c r="AC2" s="3">
        <v>0.06875</v>
      </c>
      <c r="AD2">
        <v>9</v>
      </c>
      <c r="AE2">
        <v>4605</v>
      </c>
      <c r="AF2">
        <v>9</v>
      </c>
      <c r="AG2">
        <v>0</v>
      </c>
      <c r="AH2">
        <v>2</v>
      </c>
      <c r="AI2">
        <v>1</v>
      </c>
    </row>
    <row r="3" spans="1:35">
      <c r="A3">
        <v>260511</v>
      </c>
      <c r="B3">
        <v>2</v>
      </c>
      <c r="C3" t="s">
        <v>83</v>
      </c>
      <c r="D3" t="s">
        <v>77</v>
      </c>
      <c r="E3">
        <v>30</v>
      </c>
      <c r="F3" t="s">
        <v>19</v>
      </c>
      <c r="G3">
        <f>VLOOKUP(F3,选手工资!$A:$F,6,FALSE)</f>
        <v>8.5</v>
      </c>
      <c r="H3" t="s">
        <v>182</v>
      </c>
      <c r="I3">
        <v>3</v>
      </c>
      <c r="J3">
        <v>18</v>
      </c>
      <c r="K3">
        <v>10</v>
      </c>
      <c r="L3">
        <v>1</v>
      </c>
      <c r="M3">
        <v>15</v>
      </c>
      <c r="N3" s="1">
        <v>0.833</v>
      </c>
      <c r="O3" s="1">
        <v>0.227</v>
      </c>
      <c r="P3">
        <v>18824</v>
      </c>
      <c r="Q3">
        <v>231</v>
      </c>
      <c r="R3">
        <v>3</v>
      </c>
      <c r="S3">
        <v>691</v>
      </c>
      <c r="T3">
        <v>700</v>
      </c>
      <c r="U3">
        <v>1</v>
      </c>
      <c r="V3">
        <v>0</v>
      </c>
      <c r="W3">
        <v>0</v>
      </c>
      <c r="X3">
        <v>18798</v>
      </c>
      <c r="Y3">
        <v>8567</v>
      </c>
      <c r="Z3">
        <v>18767</v>
      </c>
      <c r="AA3" s="1">
        <v>0.373</v>
      </c>
      <c r="AB3">
        <v>118</v>
      </c>
      <c r="AC3" s="3">
        <v>0.0215277777777778</v>
      </c>
      <c r="AD3">
        <v>6</v>
      </c>
      <c r="AE3">
        <v>3794</v>
      </c>
      <c r="AF3">
        <v>7</v>
      </c>
      <c r="AG3">
        <v>80</v>
      </c>
      <c r="AH3">
        <v>0</v>
      </c>
      <c r="AI3">
        <v>1</v>
      </c>
    </row>
    <row r="4" spans="1:35">
      <c r="A4">
        <v>260511</v>
      </c>
      <c r="B4">
        <v>2</v>
      </c>
      <c r="C4" t="s">
        <v>83</v>
      </c>
      <c r="D4" t="s">
        <v>77</v>
      </c>
      <c r="E4">
        <v>30</v>
      </c>
      <c r="F4" t="s">
        <v>38</v>
      </c>
      <c r="G4">
        <f>VLOOKUP(F4,选手工资!$A:$F,6,FALSE)</f>
        <v>1.5</v>
      </c>
      <c r="H4" t="s">
        <v>139</v>
      </c>
      <c r="I4">
        <v>1</v>
      </c>
      <c r="J4">
        <v>18</v>
      </c>
      <c r="K4">
        <v>6</v>
      </c>
      <c r="L4">
        <v>2</v>
      </c>
      <c r="M4">
        <v>8</v>
      </c>
      <c r="N4" s="1">
        <v>0.467</v>
      </c>
      <c r="O4" s="1">
        <v>0.172</v>
      </c>
      <c r="P4">
        <v>16002</v>
      </c>
      <c r="Q4">
        <v>243</v>
      </c>
      <c r="R4">
        <v>2</v>
      </c>
      <c r="S4">
        <v>606</v>
      </c>
      <c r="T4">
        <v>696</v>
      </c>
      <c r="U4">
        <v>0</v>
      </c>
      <c r="V4">
        <v>0</v>
      </c>
      <c r="W4">
        <v>0</v>
      </c>
      <c r="X4">
        <v>14249</v>
      </c>
      <c r="Y4">
        <v>6843</v>
      </c>
      <c r="Z4">
        <v>13757</v>
      </c>
      <c r="AA4" s="1">
        <v>0.437</v>
      </c>
      <c r="AB4">
        <v>101</v>
      </c>
      <c r="AC4" s="3">
        <v>0.03125</v>
      </c>
      <c r="AD4">
        <v>5</v>
      </c>
      <c r="AE4">
        <v>3686</v>
      </c>
      <c r="AF4">
        <v>7</v>
      </c>
      <c r="AG4">
        <v>0</v>
      </c>
      <c r="AH4">
        <v>2</v>
      </c>
      <c r="AI4">
        <v>0</v>
      </c>
    </row>
    <row r="5" spans="1:35">
      <c r="A5">
        <v>260511</v>
      </c>
      <c r="B5">
        <v>2</v>
      </c>
      <c r="C5" t="s">
        <v>83</v>
      </c>
      <c r="D5" t="s">
        <v>77</v>
      </c>
      <c r="E5">
        <v>30</v>
      </c>
      <c r="F5" t="s">
        <v>41</v>
      </c>
      <c r="G5">
        <f>VLOOKUP(F5,选手工资!$A:$F,6,FALSE)</f>
        <v>2.5</v>
      </c>
      <c r="H5" t="s">
        <v>88</v>
      </c>
      <c r="I5">
        <v>4</v>
      </c>
      <c r="J5">
        <v>13</v>
      </c>
      <c r="K5">
        <v>4</v>
      </c>
      <c r="L5">
        <v>1</v>
      </c>
      <c r="M5">
        <v>21</v>
      </c>
      <c r="N5" s="1">
        <v>0.833</v>
      </c>
      <c r="O5" s="1">
        <v>0.126</v>
      </c>
      <c r="P5">
        <v>9098</v>
      </c>
      <c r="Q5">
        <v>44</v>
      </c>
      <c r="R5">
        <v>0</v>
      </c>
      <c r="S5">
        <v>359</v>
      </c>
      <c r="T5">
        <v>382</v>
      </c>
      <c r="U5">
        <v>2</v>
      </c>
      <c r="V5">
        <v>0</v>
      </c>
      <c r="W5">
        <v>0</v>
      </c>
      <c r="X5">
        <v>10399</v>
      </c>
      <c r="Y5">
        <v>708</v>
      </c>
      <c r="Z5">
        <v>8970</v>
      </c>
      <c r="AA5" s="1">
        <v>0.218</v>
      </c>
      <c r="AB5">
        <v>2</v>
      </c>
      <c r="AC5" s="3">
        <v>0.0173611111111111</v>
      </c>
      <c r="AD5">
        <v>2</v>
      </c>
      <c r="AE5">
        <v>2090</v>
      </c>
      <c r="AF5">
        <v>5</v>
      </c>
      <c r="AG5">
        <v>580</v>
      </c>
      <c r="AH5">
        <v>1</v>
      </c>
      <c r="AI5">
        <v>5</v>
      </c>
    </row>
    <row r="6" spans="1:35">
      <c r="A6">
        <v>260511</v>
      </c>
      <c r="B6">
        <v>2</v>
      </c>
      <c r="C6" t="s">
        <v>83</v>
      </c>
      <c r="D6" t="s">
        <v>77</v>
      </c>
      <c r="E6">
        <v>30</v>
      </c>
      <c r="F6" t="s">
        <v>28</v>
      </c>
      <c r="G6">
        <f>VLOOKUP(F6,选手工资!$A:$F,6,FALSE)</f>
        <v>5.5</v>
      </c>
      <c r="H6" t="s">
        <v>95</v>
      </c>
      <c r="I6">
        <v>4</v>
      </c>
      <c r="J6">
        <v>13</v>
      </c>
      <c r="K6">
        <v>2</v>
      </c>
      <c r="L6">
        <v>6</v>
      </c>
      <c r="M6">
        <v>16</v>
      </c>
      <c r="N6" s="1">
        <v>0.6</v>
      </c>
      <c r="O6" s="1">
        <v>0.135</v>
      </c>
      <c r="P6">
        <v>9375</v>
      </c>
      <c r="Q6">
        <v>53</v>
      </c>
      <c r="R6">
        <v>1</v>
      </c>
      <c r="S6">
        <v>315</v>
      </c>
      <c r="T6">
        <v>374</v>
      </c>
      <c r="U6">
        <v>2</v>
      </c>
      <c r="V6">
        <v>0</v>
      </c>
      <c r="W6">
        <v>0</v>
      </c>
      <c r="X6">
        <v>11191</v>
      </c>
      <c r="Y6">
        <v>343</v>
      </c>
      <c r="Z6">
        <v>13150</v>
      </c>
      <c r="AA6" s="1">
        <v>0.296</v>
      </c>
      <c r="AB6">
        <v>369</v>
      </c>
      <c r="AC6" s="3">
        <v>0.115972222222222</v>
      </c>
      <c r="AD6">
        <v>1</v>
      </c>
      <c r="AE6">
        <v>1895</v>
      </c>
      <c r="AF6">
        <v>5</v>
      </c>
      <c r="AG6">
        <v>550</v>
      </c>
      <c r="AH6">
        <v>0</v>
      </c>
      <c r="AI6">
        <v>4</v>
      </c>
    </row>
    <row r="7" spans="1:35">
      <c r="A7">
        <v>260511</v>
      </c>
      <c r="B7">
        <v>2</v>
      </c>
      <c r="C7" t="s">
        <v>76</v>
      </c>
      <c r="D7" t="s">
        <v>84</v>
      </c>
      <c r="E7">
        <v>13</v>
      </c>
      <c r="F7" t="s">
        <v>30</v>
      </c>
      <c r="G7">
        <f>VLOOKUP(F7,选手工资!$A:$F,6,FALSE)</f>
        <v>4.5</v>
      </c>
      <c r="H7" t="s">
        <v>148</v>
      </c>
      <c r="I7">
        <v>2</v>
      </c>
      <c r="J7">
        <v>17</v>
      </c>
      <c r="K7">
        <v>5</v>
      </c>
      <c r="L7">
        <v>4</v>
      </c>
      <c r="M7">
        <v>3</v>
      </c>
      <c r="N7" s="1">
        <v>0.615</v>
      </c>
      <c r="O7" s="1">
        <v>0.271</v>
      </c>
      <c r="P7">
        <v>13608</v>
      </c>
      <c r="Q7">
        <v>234</v>
      </c>
      <c r="R7">
        <v>11</v>
      </c>
      <c r="S7">
        <v>519</v>
      </c>
      <c r="T7">
        <v>625</v>
      </c>
      <c r="U7">
        <v>1</v>
      </c>
      <c r="V7">
        <v>0</v>
      </c>
      <c r="W7">
        <v>0</v>
      </c>
      <c r="X7">
        <v>12451</v>
      </c>
      <c r="Y7">
        <v>0</v>
      </c>
      <c r="Z7">
        <v>31591</v>
      </c>
      <c r="AA7" s="1">
        <v>0.444</v>
      </c>
      <c r="AB7">
        <v>517</v>
      </c>
      <c r="AC7" s="3">
        <v>0.0930555555555556</v>
      </c>
      <c r="AD7">
        <v>4</v>
      </c>
      <c r="AE7">
        <v>4681</v>
      </c>
      <c r="AF7">
        <v>9</v>
      </c>
      <c r="AG7">
        <v>50</v>
      </c>
      <c r="AH7">
        <v>0</v>
      </c>
      <c r="AI7">
        <v>0</v>
      </c>
    </row>
    <row r="8" spans="1:35">
      <c r="A8">
        <v>260511</v>
      </c>
      <c r="B8">
        <v>2</v>
      </c>
      <c r="C8" t="s">
        <v>76</v>
      </c>
      <c r="D8" t="s">
        <v>84</v>
      </c>
      <c r="E8">
        <v>13</v>
      </c>
      <c r="F8" t="s">
        <v>20</v>
      </c>
      <c r="G8">
        <f>VLOOKUP(F8,选手工资!$A:$F,6,FALSE)</f>
        <v>7.5</v>
      </c>
      <c r="H8" t="s">
        <v>104</v>
      </c>
      <c r="I8">
        <v>1</v>
      </c>
      <c r="J8">
        <v>15</v>
      </c>
      <c r="K8">
        <v>0</v>
      </c>
      <c r="L8">
        <v>5</v>
      </c>
      <c r="M8">
        <v>6</v>
      </c>
      <c r="N8" s="1">
        <v>0.462</v>
      </c>
      <c r="O8" s="1">
        <v>0.261</v>
      </c>
      <c r="P8">
        <v>12021</v>
      </c>
      <c r="Q8">
        <v>198</v>
      </c>
      <c r="R8">
        <v>5</v>
      </c>
      <c r="S8">
        <v>476</v>
      </c>
      <c r="T8">
        <v>507</v>
      </c>
      <c r="U8">
        <v>0</v>
      </c>
      <c r="V8">
        <v>0</v>
      </c>
      <c r="W8">
        <v>0</v>
      </c>
      <c r="X8">
        <v>11965</v>
      </c>
      <c r="Y8">
        <v>369</v>
      </c>
      <c r="Z8">
        <v>46315</v>
      </c>
      <c r="AA8" s="1">
        <v>0.586</v>
      </c>
      <c r="AB8">
        <v>1093</v>
      </c>
      <c r="AC8" s="3">
        <v>0.134027777777778</v>
      </c>
      <c r="AD8">
        <v>10</v>
      </c>
      <c r="AE8">
        <v>4157</v>
      </c>
      <c r="AF8">
        <v>7</v>
      </c>
      <c r="AG8">
        <v>80</v>
      </c>
      <c r="AH8">
        <v>1</v>
      </c>
      <c r="AI8">
        <v>1</v>
      </c>
    </row>
    <row r="9" spans="1:35">
      <c r="A9">
        <v>260511</v>
      </c>
      <c r="B9">
        <v>2</v>
      </c>
      <c r="C9" t="s">
        <v>76</v>
      </c>
      <c r="D9" t="s">
        <v>84</v>
      </c>
      <c r="E9">
        <v>13</v>
      </c>
      <c r="F9" t="s">
        <v>18</v>
      </c>
      <c r="G9">
        <f>VLOOKUP(F9,选手工资!$A:$F,6,FALSE)</f>
        <v>6.5</v>
      </c>
      <c r="H9" t="s">
        <v>183</v>
      </c>
      <c r="I9">
        <v>3</v>
      </c>
      <c r="J9">
        <v>15</v>
      </c>
      <c r="K9">
        <v>4</v>
      </c>
      <c r="L9">
        <v>8</v>
      </c>
      <c r="M9">
        <v>3</v>
      </c>
      <c r="N9" s="1">
        <v>0.538</v>
      </c>
      <c r="O9" s="1">
        <v>0.206</v>
      </c>
      <c r="P9">
        <v>10324</v>
      </c>
      <c r="Q9">
        <v>155</v>
      </c>
      <c r="R9">
        <v>7</v>
      </c>
      <c r="S9">
        <v>413</v>
      </c>
      <c r="T9">
        <v>513</v>
      </c>
      <c r="U9">
        <v>2</v>
      </c>
      <c r="V9">
        <v>0</v>
      </c>
      <c r="W9">
        <v>0</v>
      </c>
      <c r="X9">
        <v>9459</v>
      </c>
      <c r="Y9">
        <v>135</v>
      </c>
      <c r="Z9">
        <v>30359</v>
      </c>
      <c r="AA9" s="1">
        <v>0.334</v>
      </c>
      <c r="AB9">
        <v>1088</v>
      </c>
      <c r="AC9" s="3">
        <v>0.176388888888889</v>
      </c>
      <c r="AD9">
        <v>8</v>
      </c>
      <c r="AE9">
        <v>3670</v>
      </c>
      <c r="AF9">
        <v>6</v>
      </c>
      <c r="AG9">
        <v>50</v>
      </c>
      <c r="AH9">
        <v>0</v>
      </c>
      <c r="AI9">
        <v>1</v>
      </c>
    </row>
    <row r="10" spans="1:35">
      <c r="A10">
        <v>260511</v>
      </c>
      <c r="B10">
        <v>2</v>
      </c>
      <c r="C10" t="s">
        <v>76</v>
      </c>
      <c r="D10" t="s">
        <v>84</v>
      </c>
      <c r="E10">
        <v>13</v>
      </c>
      <c r="F10" t="s">
        <v>33</v>
      </c>
      <c r="G10">
        <f>VLOOKUP(F10,选手工资!$A:$F,6,FALSE)</f>
        <v>5</v>
      </c>
      <c r="H10" t="s">
        <v>184</v>
      </c>
      <c r="I10">
        <v>5</v>
      </c>
      <c r="J10">
        <v>11</v>
      </c>
      <c r="K10">
        <v>2</v>
      </c>
      <c r="L10">
        <v>7</v>
      </c>
      <c r="M10">
        <v>6</v>
      </c>
      <c r="N10" s="1">
        <v>0.615</v>
      </c>
      <c r="O10" s="1">
        <v>0.174</v>
      </c>
      <c r="P10">
        <v>5708</v>
      </c>
      <c r="Q10">
        <v>52</v>
      </c>
      <c r="R10">
        <v>5</v>
      </c>
      <c r="S10">
        <v>273</v>
      </c>
      <c r="T10">
        <v>270</v>
      </c>
      <c r="U10">
        <v>0</v>
      </c>
      <c r="V10">
        <v>3476</v>
      </c>
      <c r="W10">
        <v>0</v>
      </c>
      <c r="X10">
        <v>7971</v>
      </c>
      <c r="Y10">
        <v>702</v>
      </c>
      <c r="Z10">
        <v>13916</v>
      </c>
      <c r="AA10" s="1">
        <v>0.261</v>
      </c>
      <c r="AB10">
        <v>357</v>
      </c>
      <c r="AC10" s="3">
        <v>0.152777777777778</v>
      </c>
      <c r="AD10">
        <v>3</v>
      </c>
      <c r="AE10">
        <v>2548</v>
      </c>
      <c r="AF10">
        <v>6</v>
      </c>
      <c r="AG10">
        <v>1050</v>
      </c>
      <c r="AH10">
        <v>4</v>
      </c>
      <c r="AI10">
        <v>3</v>
      </c>
    </row>
    <row r="11" spans="1:35">
      <c r="A11">
        <v>260511</v>
      </c>
      <c r="B11">
        <v>2</v>
      </c>
      <c r="C11" t="s">
        <v>76</v>
      </c>
      <c r="D11" t="s">
        <v>84</v>
      </c>
      <c r="E11">
        <v>13</v>
      </c>
      <c r="F11" t="s">
        <v>40</v>
      </c>
      <c r="G11">
        <f>VLOOKUP(F11,选手工资!$A:$F,6,FALSE)</f>
        <v>3</v>
      </c>
      <c r="H11" t="s">
        <v>126</v>
      </c>
      <c r="I11">
        <v>4</v>
      </c>
      <c r="J11">
        <v>10</v>
      </c>
      <c r="K11">
        <v>2</v>
      </c>
      <c r="L11">
        <v>6</v>
      </c>
      <c r="M11">
        <v>5</v>
      </c>
      <c r="N11" s="1">
        <v>0.538</v>
      </c>
      <c r="O11" s="1">
        <v>0.088</v>
      </c>
      <c r="P11">
        <v>5626</v>
      </c>
      <c r="Q11">
        <v>21</v>
      </c>
      <c r="R11">
        <v>1</v>
      </c>
      <c r="S11">
        <v>217</v>
      </c>
      <c r="T11">
        <v>223</v>
      </c>
      <c r="U11">
        <v>4</v>
      </c>
      <c r="V11">
        <v>0</v>
      </c>
      <c r="W11">
        <v>0</v>
      </c>
      <c r="X11">
        <v>4048</v>
      </c>
      <c r="Y11">
        <v>254</v>
      </c>
      <c r="Z11">
        <v>21184</v>
      </c>
      <c r="AA11" s="1">
        <v>0.265</v>
      </c>
      <c r="AB11">
        <v>383</v>
      </c>
      <c r="AC11" s="3">
        <v>0.114583333333333</v>
      </c>
      <c r="AD11">
        <v>7</v>
      </c>
      <c r="AE11">
        <v>1716</v>
      </c>
      <c r="AF11">
        <v>4</v>
      </c>
      <c r="AG11">
        <v>150</v>
      </c>
      <c r="AH11">
        <v>1</v>
      </c>
      <c r="AI11">
        <v>1</v>
      </c>
    </row>
    <row r="14" spans="1:35">
      <c r="A14" t="s">
        <v>90</v>
      </c>
      <c r="B14" s="4">
        <v>8806870234</v>
      </c>
      <c r="C14" s="4"/>
    </row>
    <row r="15" spans="1:35">
      <c r="A15" t="s">
        <v>91</v>
      </c>
      <c r="B15" s="7" t="s">
        <v>181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M2" activePane="bottomRight" state="frozen"/>
      <selection/>
      <selection pane="topRight"/>
      <selection pane="bottomLeft"/>
      <selection pane="bottomRight" activeCell="AG1" sqref="AG$1:AI$1048576"/>
    </sheetView>
  </sheetViews>
  <sheetFormatPr defaultColWidth="9.25" defaultRowHeight="16.8"/>
  <cols>
    <col min="7" max="7" width="10.25" customWidth="1"/>
    <col min="9" max="9" width="12.875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260511</v>
      </c>
      <c r="B2">
        <v>3</v>
      </c>
      <c r="C2" t="s">
        <v>83</v>
      </c>
      <c r="D2" t="s">
        <v>84</v>
      </c>
      <c r="E2">
        <v>31</v>
      </c>
      <c r="F2" t="s">
        <v>30</v>
      </c>
      <c r="G2">
        <f>VLOOKUP(F2,选手工资!$A:$F,6,FALSE)</f>
        <v>4.5</v>
      </c>
      <c r="H2" t="s">
        <v>148</v>
      </c>
      <c r="I2">
        <v>2</v>
      </c>
      <c r="J2">
        <v>23</v>
      </c>
      <c r="K2">
        <v>5</v>
      </c>
      <c r="L2">
        <v>12</v>
      </c>
      <c r="M2">
        <v>18</v>
      </c>
      <c r="N2" s="1">
        <v>0.742</v>
      </c>
      <c r="O2" s="1">
        <v>0.192</v>
      </c>
      <c r="P2">
        <v>19058</v>
      </c>
      <c r="Q2">
        <v>323</v>
      </c>
      <c r="R2">
        <v>4</v>
      </c>
      <c r="S2">
        <v>522</v>
      </c>
      <c r="T2">
        <v>618</v>
      </c>
      <c r="U2">
        <v>5</v>
      </c>
      <c r="V2">
        <v>0</v>
      </c>
      <c r="W2">
        <v>0</v>
      </c>
      <c r="X2">
        <v>27822</v>
      </c>
      <c r="Y2">
        <v>157</v>
      </c>
      <c r="Z2">
        <v>92514</v>
      </c>
      <c r="AA2" s="1">
        <v>0.499</v>
      </c>
      <c r="AB2">
        <v>3224</v>
      </c>
      <c r="AC2" s="3">
        <v>0.463194444444444</v>
      </c>
      <c r="AD2">
        <v>1</v>
      </c>
      <c r="AE2">
        <v>3949</v>
      </c>
      <c r="AF2">
        <v>8</v>
      </c>
      <c r="AG2">
        <v>50</v>
      </c>
      <c r="AH2">
        <v>0</v>
      </c>
      <c r="AI2">
        <v>1</v>
      </c>
    </row>
    <row r="3" spans="1:35">
      <c r="A3">
        <v>260511</v>
      </c>
      <c r="B3">
        <v>3</v>
      </c>
      <c r="C3" t="s">
        <v>83</v>
      </c>
      <c r="D3" t="s">
        <v>84</v>
      </c>
      <c r="E3">
        <v>31</v>
      </c>
      <c r="F3" t="s">
        <v>18</v>
      </c>
      <c r="G3">
        <f>VLOOKUP(F3,选手工资!$A:$F,6,FALSE)</f>
        <v>6.5</v>
      </c>
      <c r="H3" t="s">
        <v>157</v>
      </c>
      <c r="I3">
        <v>1</v>
      </c>
      <c r="J3">
        <v>25</v>
      </c>
      <c r="K3">
        <v>11</v>
      </c>
      <c r="L3">
        <v>9</v>
      </c>
      <c r="M3">
        <v>4</v>
      </c>
      <c r="N3" s="1">
        <v>0.484</v>
      </c>
      <c r="O3" s="1">
        <v>0.305</v>
      </c>
      <c r="P3">
        <v>22363</v>
      </c>
      <c r="Q3">
        <v>363</v>
      </c>
      <c r="R3">
        <v>17</v>
      </c>
      <c r="S3">
        <v>553</v>
      </c>
      <c r="T3">
        <v>782</v>
      </c>
      <c r="U3">
        <v>0</v>
      </c>
      <c r="V3">
        <v>0</v>
      </c>
      <c r="W3">
        <v>0</v>
      </c>
      <c r="X3">
        <v>44220</v>
      </c>
      <c r="Y3">
        <v>1661</v>
      </c>
      <c r="Z3">
        <v>37017</v>
      </c>
      <c r="AA3" s="1">
        <v>0.358</v>
      </c>
      <c r="AB3">
        <v>3063</v>
      </c>
      <c r="AC3" s="3">
        <v>0.358333333333333</v>
      </c>
      <c r="AD3">
        <v>9</v>
      </c>
      <c r="AE3">
        <v>4186</v>
      </c>
      <c r="AF3">
        <v>7</v>
      </c>
      <c r="AG3">
        <v>0</v>
      </c>
      <c r="AH3">
        <v>1</v>
      </c>
      <c r="AI3">
        <v>0</v>
      </c>
    </row>
    <row r="4" spans="1:35">
      <c r="A4">
        <v>260511</v>
      </c>
      <c r="B4">
        <v>3</v>
      </c>
      <c r="C4" t="s">
        <v>83</v>
      </c>
      <c r="D4" t="s">
        <v>84</v>
      </c>
      <c r="E4">
        <v>31</v>
      </c>
      <c r="F4" t="s">
        <v>19</v>
      </c>
      <c r="G4">
        <f>VLOOKUP(F4,选手工资!$A:$F,6,FALSE)</f>
        <v>8.5</v>
      </c>
      <c r="H4" t="s">
        <v>120</v>
      </c>
      <c r="I4">
        <v>3</v>
      </c>
      <c r="J4">
        <v>24</v>
      </c>
      <c r="K4">
        <v>8</v>
      </c>
      <c r="L4">
        <v>9</v>
      </c>
      <c r="M4">
        <v>12</v>
      </c>
      <c r="N4" s="1">
        <v>0.645</v>
      </c>
      <c r="O4" s="1">
        <v>0.249</v>
      </c>
      <c r="P4">
        <v>16923</v>
      </c>
      <c r="Q4">
        <v>242</v>
      </c>
      <c r="R4">
        <v>10</v>
      </c>
      <c r="S4">
        <v>437</v>
      </c>
      <c r="T4">
        <v>662</v>
      </c>
      <c r="U4">
        <v>1</v>
      </c>
      <c r="V4">
        <v>1323</v>
      </c>
      <c r="W4">
        <v>1</v>
      </c>
      <c r="X4">
        <v>36024</v>
      </c>
      <c r="Y4">
        <v>1720</v>
      </c>
      <c r="Z4">
        <v>54085</v>
      </c>
      <c r="AA4" s="1">
        <v>0.388</v>
      </c>
      <c r="AB4">
        <v>2618</v>
      </c>
      <c r="AC4" s="3">
        <v>0.329861111111111</v>
      </c>
      <c r="AD4">
        <v>5</v>
      </c>
      <c r="AE4">
        <v>3887</v>
      </c>
      <c r="AF4">
        <v>7</v>
      </c>
      <c r="AG4">
        <v>0</v>
      </c>
      <c r="AH4">
        <v>1</v>
      </c>
      <c r="AI4">
        <v>1</v>
      </c>
    </row>
    <row r="5" spans="1:35">
      <c r="A5">
        <v>260511</v>
      </c>
      <c r="B5">
        <v>3</v>
      </c>
      <c r="C5" t="s">
        <v>83</v>
      </c>
      <c r="D5" t="s">
        <v>84</v>
      </c>
      <c r="E5">
        <v>31</v>
      </c>
      <c r="F5" t="s">
        <v>31</v>
      </c>
      <c r="G5">
        <f>VLOOKUP(F5,选手工资!$A:$F,6,FALSE)</f>
        <v>4.5</v>
      </c>
      <c r="H5" t="s">
        <v>89</v>
      </c>
      <c r="I5">
        <v>4</v>
      </c>
      <c r="J5">
        <v>21</v>
      </c>
      <c r="K5">
        <v>6</v>
      </c>
      <c r="L5">
        <v>9</v>
      </c>
      <c r="M5">
        <v>11</v>
      </c>
      <c r="N5" s="1">
        <v>0.548</v>
      </c>
      <c r="O5" s="1">
        <v>0.151</v>
      </c>
      <c r="P5">
        <v>12016</v>
      </c>
      <c r="Q5">
        <v>63</v>
      </c>
      <c r="R5">
        <v>2</v>
      </c>
      <c r="S5">
        <v>289</v>
      </c>
      <c r="T5">
        <v>508</v>
      </c>
      <c r="U5">
        <v>3</v>
      </c>
      <c r="V5">
        <v>0</v>
      </c>
      <c r="W5">
        <v>0</v>
      </c>
      <c r="X5">
        <v>21795</v>
      </c>
      <c r="Y5">
        <v>69</v>
      </c>
      <c r="Z5">
        <v>45437</v>
      </c>
      <c r="AA5" s="1">
        <v>0.481</v>
      </c>
      <c r="AB5">
        <v>1118</v>
      </c>
      <c r="AC5" s="3">
        <v>0.261111111111111</v>
      </c>
      <c r="AD5">
        <v>6</v>
      </c>
      <c r="AE5">
        <v>2246</v>
      </c>
      <c r="AF5">
        <v>5</v>
      </c>
      <c r="AG5">
        <v>750</v>
      </c>
      <c r="AH5">
        <v>0</v>
      </c>
      <c r="AI5">
        <v>8</v>
      </c>
    </row>
    <row r="6" spans="1:35">
      <c r="A6">
        <v>260511</v>
      </c>
      <c r="B6">
        <v>3</v>
      </c>
      <c r="C6" t="s">
        <v>83</v>
      </c>
      <c r="D6" t="s">
        <v>84</v>
      </c>
      <c r="E6">
        <v>31</v>
      </c>
      <c r="F6" t="s">
        <v>25</v>
      </c>
      <c r="G6">
        <f>VLOOKUP(F6,选手工资!$A:$F,6,FALSE)</f>
        <v>6.5</v>
      </c>
      <c r="H6" t="s">
        <v>126</v>
      </c>
      <c r="I6">
        <v>5</v>
      </c>
      <c r="J6">
        <v>18</v>
      </c>
      <c r="K6">
        <v>1</v>
      </c>
      <c r="L6">
        <v>13</v>
      </c>
      <c r="M6">
        <v>16</v>
      </c>
      <c r="N6" s="1">
        <v>0.548</v>
      </c>
      <c r="O6" s="1">
        <v>0.103</v>
      </c>
      <c r="P6">
        <v>9476</v>
      </c>
      <c r="Q6">
        <v>58</v>
      </c>
      <c r="R6">
        <v>0</v>
      </c>
      <c r="S6">
        <v>230</v>
      </c>
      <c r="T6">
        <v>393</v>
      </c>
      <c r="U6">
        <v>1</v>
      </c>
      <c r="V6">
        <v>0</v>
      </c>
      <c r="W6">
        <v>0</v>
      </c>
      <c r="X6">
        <v>14919</v>
      </c>
      <c r="Y6">
        <v>0</v>
      </c>
      <c r="Z6">
        <v>43422</v>
      </c>
      <c r="AA6" s="1">
        <v>0.318</v>
      </c>
      <c r="AB6">
        <v>1079</v>
      </c>
      <c r="AC6" s="3">
        <v>0.351388888888889</v>
      </c>
      <c r="AD6">
        <v>2</v>
      </c>
      <c r="AE6">
        <v>1878</v>
      </c>
      <c r="AF6">
        <v>4</v>
      </c>
      <c r="AG6">
        <v>730</v>
      </c>
      <c r="AH6">
        <v>2</v>
      </c>
      <c r="AI6">
        <v>3</v>
      </c>
    </row>
    <row r="7" spans="1:35">
      <c r="A7">
        <v>260511</v>
      </c>
      <c r="B7">
        <v>3</v>
      </c>
      <c r="C7" t="s">
        <v>76</v>
      </c>
      <c r="D7" t="s">
        <v>77</v>
      </c>
      <c r="E7">
        <v>52</v>
      </c>
      <c r="F7" t="s">
        <v>14</v>
      </c>
      <c r="G7">
        <f>VLOOKUP(F7,选手工资!$A:$F,6,FALSE)</f>
        <v>8</v>
      </c>
      <c r="H7" t="s">
        <v>103</v>
      </c>
      <c r="I7">
        <v>2</v>
      </c>
      <c r="J7">
        <v>27</v>
      </c>
      <c r="K7">
        <v>16</v>
      </c>
      <c r="L7">
        <v>9</v>
      </c>
      <c r="M7">
        <v>29</v>
      </c>
      <c r="N7" s="1">
        <v>0.865</v>
      </c>
      <c r="O7" s="1">
        <v>0.357</v>
      </c>
      <c r="P7">
        <v>27931</v>
      </c>
      <c r="Q7">
        <v>272</v>
      </c>
      <c r="R7">
        <v>10</v>
      </c>
      <c r="S7">
        <v>626</v>
      </c>
      <c r="T7">
        <v>995</v>
      </c>
      <c r="U7">
        <v>5</v>
      </c>
      <c r="V7">
        <v>360</v>
      </c>
      <c r="W7">
        <v>0</v>
      </c>
      <c r="X7">
        <v>55835</v>
      </c>
      <c r="Y7">
        <v>5374</v>
      </c>
      <c r="Z7">
        <v>68236</v>
      </c>
      <c r="AA7" s="1">
        <v>0.594</v>
      </c>
      <c r="AB7">
        <v>1853</v>
      </c>
      <c r="AC7" s="3">
        <v>0.2875</v>
      </c>
      <c r="AD7">
        <v>8</v>
      </c>
      <c r="AE7">
        <v>4384</v>
      </c>
      <c r="AF7">
        <v>8</v>
      </c>
      <c r="AG7">
        <v>0</v>
      </c>
      <c r="AH7">
        <v>1</v>
      </c>
      <c r="AI7">
        <v>3</v>
      </c>
    </row>
    <row r="8" spans="1:35">
      <c r="A8">
        <v>260511</v>
      </c>
      <c r="B8">
        <v>3</v>
      </c>
      <c r="C8" t="s">
        <v>76</v>
      </c>
      <c r="D8" t="s">
        <v>77</v>
      </c>
      <c r="E8">
        <v>52</v>
      </c>
      <c r="F8" t="s">
        <v>17</v>
      </c>
      <c r="G8">
        <f>VLOOKUP(F8,选手工资!$A:$F,6,FALSE)</f>
        <v>7.5</v>
      </c>
      <c r="H8" t="s">
        <v>118</v>
      </c>
      <c r="I8">
        <v>1</v>
      </c>
      <c r="J8">
        <v>28</v>
      </c>
      <c r="K8">
        <v>9</v>
      </c>
      <c r="L8">
        <v>3</v>
      </c>
      <c r="M8">
        <v>19</v>
      </c>
      <c r="N8" s="1">
        <v>0.538</v>
      </c>
      <c r="O8" s="1">
        <v>0.198</v>
      </c>
      <c r="P8">
        <v>35622</v>
      </c>
      <c r="Q8">
        <v>503</v>
      </c>
      <c r="R8">
        <v>24</v>
      </c>
      <c r="S8">
        <v>741</v>
      </c>
      <c r="T8">
        <v>1053</v>
      </c>
      <c r="U8">
        <v>6</v>
      </c>
      <c r="V8">
        <v>0</v>
      </c>
      <c r="W8">
        <v>0</v>
      </c>
      <c r="X8">
        <v>30953</v>
      </c>
      <c r="Y8">
        <v>13514</v>
      </c>
      <c r="Z8">
        <v>64480</v>
      </c>
      <c r="AA8" s="1">
        <v>0.507</v>
      </c>
      <c r="AB8">
        <v>1145</v>
      </c>
      <c r="AC8" s="3">
        <v>0.145138888888889</v>
      </c>
      <c r="AD8">
        <v>10</v>
      </c>
      <c r="AE8">
        <v>4080</v>
      </c>
      <c r="AF8">
        <v>6</v>
      </c>
      <c r="AG8">
        <v>150</v>
      </c>
      <c r="AH8">
        <v>0</v>
      </c>
      <c r="AI8">
        <v>5</v>
      </c>
    </row>
    <row r="9" spans="1:35">
      <c r="A9">
        <v>260511</v>
      </c>
      <c r="B9">
        <v>3</v>
      </c>
      <c r="C9" t="s">
        <v>76</v>
      </c>
      <c r="D9" t="s">
        <v>77</v>
      </c>
      <c r="E9">
        <v>52</v>
      </c>
      <c r="F9" t="s">
        <v>20</v>
      </c>
      <c r="G9">
        <f>VLOOKUP(F9,选手工资!$A:$F,6,FALSE)</f>
        <v>7.5</v>
      </c>
      <c r="H9" t="s">
        <v>149</v>
      </c>
      <c r="I9">
        <v>3</v>
      </c>
      <c r="J9">
        <v>27</v>
      </c>
      <c r="K9">
        <v>12</v>
      </c>
      <c r="L9">
        <v>8</v>
      </c>
      <c r="M9">
        <v>28</v>
      </c>
      <c r="N9" s="1">
        <v>0.769</v>
      </c>
      <c r="O9" s="1">
        <v>0.179</v>
      </c>
      <c r="P9">
        <v>26980</v>
      </c>
      <c r="Q9">
        <v>313</v>
      </c>
      <c r="R9">
        <v>6</v>
      </c>
      <c r="S9">
        <v>614</v>
      </c>
      <c r="T9">
        <v>1024</v>
      </c>
      <c r="U9">
        <v>2</v>
      </c>
      <c r="V9">
        <v>0</v>
      </c>
      <c r="W9">
        <v>1</v>
      </c>
      <c r="X9">
        <v>27917</v>
      </c>
      <c r="Y9">
        <v>6694</v>
      </c>
      <c r="Z9">
        <v>96069</v>
      </c>
      <c r="AA9" s="1">
        <v>0.507</v>
      </c>
      <c r="AB9">
        <v>2151</v>
      </c>
      <c r="AC9" s="3">
        <v>0.277777777777778</v>
      </c>
      <c r="AD9">
        <v>7</v>
      </c>
      <c r="AE9">
        <v>3755</v>
      </c>
      <c r="AF9">
        <v>6</v>
      </c>
      <c r="AG9">
        <v>80</v>
      </c>
      <c r="AH9">
        <v>0</v>
      </c>
      <c r="AI9">
        <v>0</v>
      </c>
    </row>
    <row r="10" spans="1:35">
      <c r="A10">
        <v>260511</v>
      </c>
      <c r="B10">
        <v>3</v>
      </c>
      <c r="C10" t="s">
        <v>76</v>
      </c>
      <c r="D10" t="s">
        <v>77</v>
      </c>
      <c r="E10">
        <v>52</v>
      </c>
      <c r="F10" t="s">
        <v>28</v>
      </c>
      <c r="G10">
        <f>VLOOKUP(F10,选手工资!$A:$F,6,FALSE)</f>
        <v>5.5</v>
      </c>
      <c r="H10" t="s">
        <v>98</v>
      </c>
      <c r="I10">
        <v>4</v>
      </c>
      <c r="J10">
        <v>25</v>
      </c>
      <c r="K10">
        <v>8</v>
      </c>
      <c r="L10">
        <v>7</v>
      </c>
      <c r="M10">
        <v>30</v>
      </c>
      <c r="N10" s="1">
        <v>0.731</v>
      </c>
      <c r="O10" s="1">
        <v>0.098</v>
      </c>
      <c r="P10">
        <v>17461</v>
      </c>
      <c r="Q10">
        <v>64</v>
      </c>
      <c r="R10">
        <v>2</v>
      </c>
      <c r="S10">
        <v>398</v>
      </c>
      <c r="T10">
        <v>723</v>
      </c>
      <c r="U10">
        <v>1</v>
      </c>
      <c r="V10">
        <v>125</v>
      </c>
      <c r="W10">
        <v>1</v>
      </c>
      <c r="X10">
        <v>15344</v>
      </c>
      <c r="Y10">
        <v>1587</v>
      </c>
      <c r="Z10">
        <v>34389</v>
      </c>
      <c r="AA10" s="1">
        <v>0.443</v>
      </c>
      <c r="AB10">
        <v>1025</v>
      </c>
      <c r="AC10" s="3">
        <v>0.127083333333333</v>
      </c>
      <c r="AD10">
        <v>3</v>
      </c>
      <c r="AE10">
        <v>2386</v>
      </c>
      <c r="AF10">
        <v>5</v>
      </c>
      <c r="AG10">
        <v>1630</v>
      </c>
      <c r="AH10">
        <v>3</v>
      </c>
      <c r="AI10">
        <v>10</v>
      </c>
    </row>
    <row r="11" spans="1:35">
      <c r="A11">
        <v>260511</v>
      </c>
      <c r="B11">
        <v>3</v>
      </c>
      <c r="C11" t="s">
        <v>76</v>
      </c>
      <c r="D11" t="s">
        <v>77</v>
      </c>
      <c r="E11">
        <v>52</v>
      </c>
      <c r="F11" t="s">
        <v>38</v>
      </c>
      <c r="G11">
        <f>VLOOKUP(F11,选手工资!$A:$F,6,FALSE)</f>
        <v>1.5</v>
      </c>
      <c r="H11" t="s">
        <v>88</v>
      </c>
      <c r="I11">
        <v>5</v>
      </c>
      <c r="J11">
        <v>24</v>
      </c>
      <c r="K11">
        <v>6</v>
      </c>
      <c r="L11">
        <v>4</v>
      </c>
      <c r="M11">
        <v>36</v>
      </c>
      <c r="N11" s="1">
        <v>0.808</v>
      </c>
      <c r="O11" s="1">
        <v>0.168</v>
      </c>
      <c r="P11">
        <v>16608</v>
      </c>
      <c r="Q11">
        <v>95</v>
      </c>
      <c r="R11">
        <v>2</v>
      </c>
      <c r="S11">
        <v>389</v>
      </c>
      <c r="T11">
        <v>709</v>
      </c>
      <c r="U11">
        <v>1</v>
      </c>
      <c r="V11">
        <v>1800</v>
      </c>
      <c r="W11">
        <v>0</v>
      </c>
      <c r="X11">
        <v>26344</v>
      </c>
      <c r="Y11">
        <v>1531</v>
      </c>
      <c r="Z11">
        <v>27458</v>
      </c>
      <c r="AA11" s="1">
        <v>0.321</v>
      </c>
      <c r="AB11">
        <v>318</v>
      </c>
      <c r="AC11" s="3">
        <v>0.100694444444444</v>
      </c>
      <c r="AD11">
        <v>4</v>
      </c>
      <c r="AE11">
        <v>1561</v>
      </c>
      <c r="AF11">
        <v>5</v>
      </c>
      <c r="AG11">
        <v>890</v>
      </c>
      <c r="AH11">
        <v>2</v>
      </c>
      <c r="AI11">
        <v>5</v>
      </c>
    </row>
    <row r="14" spans="1:35">
      <c r="A14" t="s">
        <v>90</v>
      </c>
      <c r="B14" s="4">
        <v>8806998168</v>
      </c>
      <c r="C14" s="4"/>
    </row>
    <row r="15" spans="1:35">
      <c r="A15" t="s">
        <v>91</v>
      </c>
      <c r="B15" s="7" t="s">
        <v>185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K2" activePane="bottomRight" state="frozen"/>
      <selection/>
      <selection pane="topRight"/>
      <selection pane="bottomLeft"/>
      <selection pane="bottomRight" activeCell="AG1" sqref="AG$1:AI$1048576"/>
    </sheetView>
  </sheetViews>
  <sheetFormatPr defaultColWidth="9.25" defaultRowHeight="16.8"/>
  <cols>
    <col min="6" max="6" width="22.5" customWidth="1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260511</v>
      </c>
      <c r="B2">
        <v>4</v>
      </c>
      <c r="C2" t="s">
        <v>83</v>
      </c>
      <c r="D2" t="s">
        <v>84</v>
      </c>
      <c r="E2">
        <v>32</v>
      </c>
      <c r="F2" t="s">
        <v>30</v>
      </c>
      <c r="G2">
        <f>VLOOKUP(F2,选手工资!$A:$F,6,FALSE)</f>
        <v>4.5</v>
      </c>
      <c r="H2" t="s">
        <v>103</v>
      </c>
      <c r="I2">
        <v>2</v>
      </c>
      <c r="J2">
        <v>23</v>
      </c>
      <c r="K2">
        <v>14</v>
      </c>
      <c r="L2">
        <v>6</v>
      </c>
      <c r="M2">
        <v>4</v>
      </c>
      <c r="N2" s="1">
        <v>0.563</v>
      </c>
      <c r="O2" s="1">
        <v>0.425</v>
      </c>
      <c r="P2">
        <v>15558</v>
      </c>
      <c r="Q2">
        <v>272</v>
      </c>
      <c r="R2">
        <v>5</v>
      </c>
      <c r="S2">
        <v>536</v>
      </c>
      <c r="T2">
        <v>738</v>
      </c>
      <c r="U2">
        <v>3</v>
      </c>
      <c r="V2">
        <v>0</v>
      </c>
      <c r="W2">
        <v>1</v>
      </c>
      <c r="X2">
        <v>44075</v>
      </c>
      <c r="Y2">
        <v>0</v>
      </c>
      <c r="Z2">
        <v>64970</v>
      </c>
      <c r="AA2" s="1">
        <v>0.584</v>
      </c>
      <c r="AB2">
        <v>1102</v>
      </c>
      <c r="AC2" s="3">
        <v>0.190972222222222</v>
      </c>
      <c r="AD2">
        <v>9</v>
      </c>
      <c r="AE2">
        <v>3886</v>
      </c>
      <c r="AF2">
        <v>8</v>
      </c>
      <c r="AG2">
        <v>150</v>
      </c>
      <c r="AH2">
        <v>0</v>
      </c>
      <c r="AI2">
        <v>2</v>
      </c>
    </row>
    <row r="3" spans="1:35">
      <c r="A3">
        <v>260511</v>
      </c>
      <c r="B3">
        <v>4</v>
      </c>
      <c r="C3" t="s">
        <v>83</v>
      </c>
      <c r="D3" t="s">
        <v>84</v>
      </c>
      <c r="E3">
        <v>32</v>
      </c>
      <c r="F3" t="s">
        <v>17</v>
      </c>
      <c r="G3">
        <f>VLOOKUP(F3,选手工资!$A:$F,6,FALSE)</f>
        <v>7.5</v>
      </c>
      <c r="H3" t="s">
        <v>145</v>
      </c>
      <c r="I3">
        <v>3</v>
      </c>
      <c r="J3">
        <v>19</v>
      </c>
      <c r="K3">
        <v>5</v>
      </c>
      <c r="L3">
        <v>8</v>
      </c>
      <c r="M3">
        <v>12</v>
      </c>
      <c r="N3" s="1">
        <v>0.531</v>
      </c>
      <c r="O3" s="1">
        <v>0.14</v>
      </c>
      <c r="P3">
        <v>14493</v>
      </c>
      <c r="Q3">
        <v>212</v>
      </c>
      <c r="R3">
        <v>15</v>
      </c>
      <c r="S3">
        <v>412</v>
      </c>
      <c r="T3">
        <v>538</v>
      </c>
      <c r="U3">
        <v>3</v>
      </c>
      <c r="V3">
        <v>0</v>
      </c>
      <c r="W3">
        <v>0</v>
      </c>
      <c r="X3">
        <v>14579</v>
      </c>
      <c r="Y3">
        <v>67</v>
      </c>
      <c r="Z3">
        <v>53788</v>
      </c>
      <c r="AA3" s="1">
        <v>0.465</v>
      </c>
      <c r="AB3">
        <v>1507</v>
      </c>
      <c r="AC3" s="3">
        <v>0.239583333333333</v>
      </c>
      <c r="AD3">
        <v>5</v>
      </c>
      <c r="AE3">
        <v>4329</v>
      </c>
      <c r="AF3">
        <v>7</v>
      </c>
      <c r="AG3">
        <v>0</v>
      </c>
      <c r="AH3">
        <v>0</v>
      </c>
      <c r="AI3">
        <v>0</v>
      </c>
    </row>
    <row r="4" spans="1:35">
      <c r="A4">
        <v>260511</v>
      </c>
      <c r="B4">
        <v>4</v>
      </c>
      <c r="C4" t="s">
        <v>83</v>
      </c>
      <c r="D4" t="s">
        <v>84</v>
      </c>
      <c r="E4">
        <v>32</v>
      </c>
      <c r="F4" t="s">
        <v>20</v>
      </c>
      <c r="G4">
        <f>VLOOKUP(F4,选手工资!$A:$F,6,FALSE)</f>
        <v>7.5</v>
      </c>
      <c r="H4" t="s">
        <v>132</v>
      </c>
      <c r="I4">
        <v>1</v>
      </c>
      <c r="J4">
        <v>23</v>
      </c>
      <c r="K4">
        <v>6</v>
      </c>
      <c r="L4">
        <v>6</v>
      </c>
      <c r="M4">
        <v>12</v>
      </c>
      <c r="N4" s="1">
        <v>0.563</v>
      </c>
      <c r="O4" s="1">
        <v>0.194</v>
      </c>
      <c r="P4">
        <v>21956</v>
      </c>
      <c r="Q4">
        <v>385</v>
      </c>
      <c r="R4">
        <v>8</v>
      </c>
      <c r="S4">
        <v>720</v>
      </c>
      <c r="T4">
        <v>729</v>
      </c>
      <c r="U4">
        <v>3</v>
      </c>
      <c r="V4">
        <v>0</v>
      </c>
      <c r="W4">
        <v>0</v>
      </c>
      <c r="X4">
        <v>20161</v>
      </c>
      <c r="Y4">
        <v>737</v>
      </c>
      <c r="Z4">
        <v>60070</v>
      </c>
      <c r="AA4" s="1">
        <v>0.452</v>
      </c>
      <c r="AB4">
        <v>1796</v>
      </c>
      <c r="AC4" s="3">
        <v>0.208333333333333</v>
      </c>
      <c r="AD4">
        <v>6</v>
      </c>
      <c r="AE4">
        <v>5114</v>
      </c>
      <c r="AF4">
        <v>6</v>
      </c>
      <c r="AG4">
        <v>0</v>
      </c>
      <c r="AH4">
        <v>2</v>
      </c>
      <c r="AI4">
        <v>1</v>
      </c>
    </row>
    <row r="5" spans="1:35">
      <c r="A5">
        <v>260511</v>
      </c>
      <c r="B5">
        <v>4</v>
      </c>
      <c r="C5" t="s">
        <v>83</v>
      </c>
      <c r="D5" t="s">
        <v>84</v>
      </c>
      <c r="E5">
        <v>32</v>
      </c>
      <c r="F5" t="s">
        <v>18</v>
      </c>
      <c r="G5">
        <f>VLOOKUP(F5,选手工资!$A:$F,6,FALSE)</f>
        <v>6.5</v>
      </c>
      <c r="H5" t="s">
        <v>180</v>
      </c>
      <c r="I5">
        <v>4</v>
      </c>
      <c r="J5">
        <v>16</v>
      </c>
      <c r="K5">
        <v>4</v>
      </c>
      <c r="L5">
        <v>13</v>
      </c>
      <c r="M5">
        <v>17</v>
      </c>
      <c r="N5" s="1">
        <v>0.656</v>
      </c>
      <c r="O5" s="1">
        <v>0.125</v>
      </c>
      <c r="P5">
        <v>10586</v>
      </c>
      <c r="Q5">
        <v>84</v>
      </c>
      <c r="R5">
        <v>1</v>
      </c>
      <c r="S5">
        <v>273</v>
      </c>
      <c r="T5">
        <v>370</v>
      </c>
      <c r="U5">
        <v>3</v>
      </c>
      <c r="V5">
        <v>0</v>
      </c>
      <c r="W5">
        <v>0</v>
      </c>
      <c r="X5">
        <v>12985</v>
      </c>
      <c r="Y5">
        <v>0</v>
      </c>
      <c r="Z5">
        <v>43880</v>
      </c>
      <c r="AA5" s="1">
        <v>0.364</v>
      </c>
      <c r="AB5">
        <v>1113</v>
      </c>
      <c r="AC5" s="3">
        <v>0.31875</v>
      </c>
      <c r="AD5">
        <v>2</v>
      </c>
      <c r="AE5">
        <v>2173</v>
      </c>
      <c r="AF5">
        <v>5</v>
      </c>
      <c r="AG5">
        <v>550</v>
      </c>
      <c r="AH5">
        <v>0</v>
      </c>
      <c r="AI5">
        <v>3</v>
      </c>
    </row>
    <row r="6" spans="1:35">
      <c r="A6">
        <v>260511</v>
      </c>
      <c r="B6">
        <v>4</v>
      </c>
      <c r="C6" t="s">
        <v>83</v>
      </c>
      <c r="D6" t="s">
        <v>84</v>
      </c>
      <c r="E6">
        <v>32</v>
      </c>
      <c r="F6" t="s">
        <v>41</v>
      </c>
      <c r="G6">
        <f>VLOOKUP(F6,选手工资!$A:$F,6,FALSE)</f>
        <v>2.5</v>
      </c>
      <c r="H6" t="s">
        <v>94</v>
      </c>
      <c r="I6">
        <v>5</v>
      </c>
      <c r="J6">
        <v>15</v>
      </c>
      <c r="K6">
        <v>3</v>
      </c>
      <c r="L6">
        <v>9</v>
      </c>
      <c r="M6">
        <v>15</v>
      </c>
      <c r="N6" s="1">
        <v>0.563</v>
      </c>
      <c r="O6" s="1">
        <v>0.116</v>
      </c>
      <c r="P6">
        <v>12172</v>
      </c>
      <c r="Q6">
        <v>29</v>
      </c>
      <c r="R6">
        <v>3</v>
      </c>
      <c r="S6">
        <v>253</v>
      </c>
      <c r="T6">
        <v>317</v>
      </c>
      <c r="U6">
        <v>1</v>
      </c>
      <c r="V6">
        <v>0</v>
      </c>
      <c r="W6">
        <v>0</v>
      </c>
      <c r="X6">
        <v>12007</v>
      </c>
      <c r="Y6">
        <v>0</v>
      </c>
      <c r="Z6">
        <v>19900</v>
      </c>
      <c r="AA6" s="1">
        <v>0.283</v>
      </c>
      <c r="AB6">
        <v>751</v>
      </c>
      <c r="AC6" s="3">
        <v>0.216666666666667</v>
      </c>
      <c r="AD6">
        <v>3</v>
      </c>
      <c r="AE6">
        <v>1992</v>
      </c>
      <c r="AF6">
        <v>5</v>
      </c>
      <c r="AG6">
        <v>750</v>
      </c>
      <c r="AH6">
        <v>3</v>
      </c>
      <c r="AI6">
        <v>8</v>
      </c>
    </row>
    <row r="7" spans="1:35">
      <c r="A7">
        <v>260511</v>
      </c>
      <c r="B7">
        <v>4</v>
      </c>
      <c r="C7" t="s">
        <v>76</v>
      </c>
      <c r="D7" t="s">
        <v>77</v>
      </c>
      <c r="E7">
        <v>41</v>
      </c>
      <c r="F7" t="s">
        <v>19</v>
      </c>
      <c r="G7">
        <f>VLOOKUP(F7,选手工资!$A:$F,6,FALSE)</f>
        <v>8.5</v>
      </c>
      <c r="H7" t="s">
        <v>125</v>
      </c>
      <c r="I7">
        <v>2</v>
      </c>
      <c r="J7">
        <v>26</v>
      </c>
      <c r="K7">
        <v>16</v>
      </c>
      <c r="L7">
        <v>3</v>
      </c>
      <c r="M7">
        <v>12</v>
      </c>
      <c r="N7" s="1">
        <v>0.683</v>
      </c>
      <c r="O7" s="1">
        <v>0.377</v>
      </c>
      <c r="P7">
        <v>30174</v>
      </c>
      <c r="Q7">
        <v>362</v>
      </c>
      <c r="R7">
        <v>11</v>
      </c>
      <c r="S7">
        <v>782</v>
      </c>
      <c r="T7">
        <v>1067</v>
      </c>
      <c r="U7">
        <v>2</v>
      </c>
      <c r="V7">
        <v>0</v>
      </c>
      <c r="W7">
        <v>0</v>
      </c>
      <c r="X7">
        <v>49364</v>
      </c>
      <c r="Y7">
        <v>9631</v>
      </c>
      <c r="Z7">
        <v>50113</v>
      </c>
      <c r="AA7" s="1">
        <v>0.502</v>
      </c>
      <c r="AB7">
        <v>513</v>
      </c>
      <c r="AC7" s="3">
        <v>0.0881944444444444</v>
      </c>
      <c r="AD7">
        <v>10</v>
      </c>
      <c r="AE7">
        <v>4242</v>
      </c>
      <c r="AF7">
        <v>8</v>
      </c>
      <c r="AG7">
        <v>50</v>
      </c>
      <c r="AH7">
        <v>2</v>
      </c>
      <c r="AI7">
        <v>3</v>
      </c>
    </row>
    <row r="8" spans="1:35">
      <c r="A8">
        <v>260511</v>
      </c>
      <c r="B8">
        <v>4</v>
      </c>
      <c r="C8" t="s">
        <v>76</v>
      </c>
      <c r="D8" t="s">
        <v>77</v>
      </c>
      <c r="E8">
        <v>41</v>
      </c>
      <c r="F8" t="s">
        <v>36</v>
      </c>
      <c r="G8">
        <f>VLOOKUP(F8,选手工资!$A:$F,6,FALSE)</f>
        <v>3.5</v>
      </c>
      <c r="H8" t="s">
        <v>80</v>
      </c>
      <c r="I8">
        <v>3</v>
      </c>
      <c r="J8">
        <v>24</v>
      </c>
      <c r="K8">
        <v>7</v>
      </c>
      <c r="L8">
        <v>6</v>
      </c>
      <c r="M8">
        <v>20</v>
      </c>
      <c r="N8" s="1">
        <v>0.659</v>
      </c>
      <c r="O8" s="1">
        <v>0.209</v>
      </c>
      <c r="P8">
        <v>21882</v>
      </c>
      <c r="Q8">
        <v>289</v>
      </c>
      <c r="R8">
        <v>8</v>
      </c>
      <c r="S8">
        <v>577</v>
      </c>
      <c r="T8">
        <v>866</v>
      </c>
      <c r="U8">
        <v>4</v>
      </c>
      <c r="V8">
        <v>4111</v>
      </c>
      <c r="W8">
        <v>0</v>
      </c>
      <c r="X8">
        <v>27387</v>
      </c>
      <c r="Y8">
        <v>5267</v>
      </c>
      <c r="Z8">
        <v>46296</v>
      </c>
      <c r="AA8" s="1">
        <v>0.44</v>
      </c>
      <c r="AB8">
        <v>893</v>
      </c>
      <c r="AC8" s="3">
        <v>0.172916666666667</v>
      </c>
      <c r="AD8">
        <v>8</v>
      </c>
      <c r="AE8">
        <v>4060</v>
      </c>
      <c r="AF8">
        <v>7</v>
      </c>
      <c r="AG8">
        <v>0</v>
      </c>
      <c r="AH8">
        <v>1</v>
      </c>
      <c r="AI8">
        <v>0</v>
      </c>
    </row>
    <row r="9" spans="1:35">
      <c r="A9">
        <v>260511</v>
      </c>
      <c r="B9">
        <v>4</v>
      </c>
      <c r="C9" t="s">
        <v>76</v>
      </c>
      <c r="D9" t="s">
        <v>77</v>
      </c>
      <c r="E9">
        <v>41</v>
      </c>
      <c r="F9" t="s">
        <v>31</v>
      </c>
      <c r="G9">
        <f>VLOOKUP(F9,选手工资!$A:$F,6,FALSE)</f>
        <v>4.5</v>
      </c>
      <c r="H9" t="s">
        <v>186</v>
      </c>
      <c r="I9">
        <v>5</v>
      </c>
      <c r="J9">
        <v>21</v>
      </c>
      <c r="K9">
        <v>2</v>
      </c>
      <c r="L9">
        <v>5</v>
      </c>
      <c r="M9">
        <v>22</v>
      </c>
      <c r="N9" s="1">
        <v>0.585</v>
      </c>
      <c r="O9" s="1">
        <v>0.077</v>
      </c>
      <c r="P9">
        <v>12855</v>
      </c>
      <c r="Q9">
        <v>91</v>
      </c>
      <c r="R9">
        <v>5</v>
      </c>
      <c r="S9">
        <v>360</v>
      </c>
      <c r="T9">
        <v>596</v>
      </c>
      <c r="U9">
        <v>1</v>
      </c>
      <c r="V9">
        <v>4678</v>
      </c>
      <c r="W9">
        <v>0</v>
      </c>
      <c r="X9">
        <v>10135</v>
      </c>
      <c r="Y9">
        <v>1198</v>
      </c>
      <c r="Z9">
        <v>19033</v>
      </c>
      <c r="AA9" s="1">
        <v>0.46</v>
      </c>
      <c r="AB9">
        <v>437</v>
      </c>
      <c r="AC9" s="3">
        <v>0.127083333333333</v>
      </c>
      <c r="AD9">
        <v>1</v>
      </c>
      <c r="AE9">
        <v>2359</v>
      </c>
      <c r="AF9">
        <v>6</v>
      </c>
      <c r="AG9">
        <v>860</v>
      </c>
      <c r="AH9">
        <v>1</v>
      </c>
      <c r="AI9">
        <v>5</v>
      </c>
    </row>
    <row r="10" spans="1:35">
      <c r="A10">
        <v>260511</v>
      </c>
      <c r="B10">
        <v>4</v>
      </c>
      <c r="C10" t="s">
        <v>76</v>
      </c>
      <c r="D10" t="s">
        <v>77</v>
      </c>
      <c r="E10">
        <v>41</v>
      </c>
      <c r="F10" t="s">
        <v>14</v>
      </c>
      <c r="G10">
        <f>VLOOKUP(F10,选手工资!$A:$F,6,FALSE)</f>
        <v>8</v>
      </c>
      <c r="H10" t="s">
        <v>109</v>
      </c>
      <c r="I10">
        <v>1</v>
      </c>
      <c r="J10">
        <v>24</v>
      </c>
      <c r="K10">
        <v>13</v>
      </c>
      <c r="L10">
        <v>6</v>
      </c>
      <c r="M10">
        <v>14</v>
      </c>
      <c r="N10" s="1">
        <v>0.659</v>
      </c>
      <c r="O10" s="1">
        <v>0.268</v>
      </c>
      <c r="P10">
        <v>27165</v>
      </c>
      <c r="Q10">
        <v>371</v>
      </c>
      <c r="R10">
        <v>17</v>
      </c>
      <c r="S10">
        <v>725</v>
      </c>
      <c r="T10">
        <v>861</v>
      </c>
      <c r="U10">
        <v>1</v>
      </c>
      <c r="V10">
        <v>0</v>
      </c>
      <c r="W10">
        <v>0</v>
      </c>
      <c r="X10">
        <v>35103</v>
      </c>
      <c r="Y10">
        <v>12341</v>
      </c>
      <c r="Z10">
        <v>36684</v>
      </c>
      <c r="AA10" s="1">
        <v>0.377</v>
      </c>
      <c r="AB10">
        <v>1085</v>
      </c>
      <c r="AC10" s="3">
        <v>0.177083333333333</v>
      </c>
      <c r="AD10">
        <v>7</v>
      </c>
      <c r="AE10">
        <v>3633</v>
      </c>
      <c r="AF10">
        <v>6</v>
      </c>
      <c r="AG10">
        <v>0</v>
      </c>
      <c r="AH10">
        <v>1</v>
      </c>
      <c r="AI10">
        <v>1</v>
      </c>
    </row>
    <row r="11" spans="1:35">
      <c r="A11">
        <v>260511</v>
      </c>
      <c r="B11">
        <v>4</v>
      </c>
      <c r="C11" t="s">
        <v>76</v>
      </c>
      <c r="D11" t="s">
        <v>77</v>
      </c>
      <c r="E11">
        <v>41</v>
      </c>
      <c r="F11" t="s">
        <v>38</v>
      </c>
      <c r="G11">
        <f>VLOOKUP(F11,选手工资!$A:$F,6,FALSE)</f>
        <v>1.5</v>
      </c>
      <c r="H11" t="s">
        <v>141</v>
      </c>
      <c r="I11">
        <v>4</v>
      </c>
      <c r="J11">
        <v>20</v>
      </c>
      <c r="K11">
        <v>2</v>
      </c>
      <c r="L11">
        <v>12</v>
      </c>
      <c r="M11">
        <v>22</v>
      </c>
      <c r="N11" s="1">
        <v>0.585</v>
      </c>
      <c r="O11" s="1">
        <v>0.068</v>
      </c>
      <c r="P11">
        <v>12401</v>
      </c>
      <c r="Q11">
        <v>39</v>
      </c>
      <c r="R11">
        <v>2</v>
      </c>
      <c r="S11">
        <v>351</v>
      </c>
      <c r="T11">
        <v>553</v>
      </c>
      <c r="U11">
        <v>0</v>
      </c>
      <c r="V11">
        <v>2593</v>
      </c>
      <c r="W11">
        <v>1</v>
      </c>
      <c r="X11">
        <v>8956</v>
      </c>
      <c r="Y11">
        <v>1055</v>
      </c>
      <c r="Z11">
        <v>30003</v>
      </c>
      <c r="AA11" s="1">
        <v>0.339</v>
      </c>
      <c r="AB11">
        <v>440</v>
      </c>
      <c r="AC11" s="3">
        <v>0.222222222222222</v>
      </c>
      <c r="AD11">
        <v>4</v>
      </c>
      <c r="AE11">
        <v>1886</v>
      </c>
      <c r="AF11">
        <v>5</v>
      </c>
      <c r="AG11">
        <v>550</v>
      </c>
      <c r="AH11">
        <v>0</v>
      </c>
      <c r="AI11">
        <v>10</v>
      </c>
    </row>
    <row r="14" spans="1:35">
      <c r="A14" t="s">
        <v>90</v>
      </c>
      <c r="B14" s="4">
        <v>8807090426</v>
      </c>
      <c r="C14" s="4"/>
    </row>
    <row r="15" spans="1:35">
      <c r="A15" t="s">
        <v>91</v>
      </c>
      <c r="B15" s="7" t="s">
        <v>187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J16" sqref="J16"/>
    </sheetView>
  </sheetViews>
  <sheetFormatPr defaultColWidth="9.25" defaultRowHeight="16.8"/>
  <cols>
    <col min="6" max="6" width="6.25" customWidth="1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260512</v>
      </c>
      <c r="B2">
        <v>1</v>
      </c>
      <c r="C2" t="s">
        <v>83</v>
      </c>
      <c r="D2" t="s">
        <v>84</v>
      </c>
      <c r="E2">
        <v>33</v>
      </c>
      <c r="F2" t="s">
        <v>19</v>
      </c>
      <c r="G2">
        <f>VLOOKUP(F2,选手工资!$A:$G,7,FALSE)</f>
        <v>9</v>
      </c>
      <c r="H2" t="s">
        <v>109</v>
      </c>
      <c r="I2">
        <v>3</v>
      </c>
      <c r="J2">
        <v>27</v>
      </c>
      <c r="K2">
        <v>13</v>
      </c>
      <c r="L2">
        <v>9</v>
      </c>
      <c r="M2">
        <v>13</v>
      </c>
      <c r="N2" s="1">
        <v>0.788</v>
      </c>
      <c r="O2" s="1">
        <v>0.282</v>
      </c>
      <c r="P2">
        <v>25478</v>
      </c>
      <c r="Q2">
        <v>370</v>
      </c>
      <c r="R2">
        <v>7</v>
      </c>
      <c r="S2">
        <v>618</v>
      </c>
      <c r="T2">
        <v>996</v>
      </c>
      <c r="U2">
        <v>3</v>
      </c>
      <c r="V2">
        <v>0</v>
      </c>
      <c r="W2">
        <v>0</v>
      </c>
      <c r="X2">
        <v>42139</v>
      </c>
      <c r="Y2">
        <v>4728</v>
      </c>
      <c r="Z2">
        <v>75219</v>
      </c>
      <c r="AA2" s="1">
        <v>0.436</v>
      </c>
      <c r="AB2">
        <v>4136</v>
      </c>
      <c r="AC2" s="3">
        <v>0.359027777777778</v>
      </c>
      <c r="AD2">
        <v>9</v>
      </c>
      <c r="AE2">
        <v>5521</v>
      </c>
      <c r="AF2">
        <v>9</v>
      </c>
      <c r="AG2">
        <v>80</v>
      </c>
      <c r="AH2">
        <v>0</v>
      </c>
      <c r="AI2">
        <v>1</v>
      </c>
    </row>
    <row r="3" spans="1:35">
      <c r="A3">
        <v>260512</v>
      </c>
      <c r="B3">
        <v>1</v>
      </c>
      <c r="C3" t="s">
        <v>83</v>
      </c>
      <c r="D3" t="s">
        <v>84</v>
      </c>
      <c r="E3">
        <v>33</v>
      </c>
      <c r="F3" t="s">
        <v>32</v>
      </c>
      <c r="G3">
        <f>VLOOKUP(F3,选手工资!$A:$G,7,FALSE)</f>
        <v>4.5</v>
      </c>
      <c r="H3" t="s">
        <v>156</v>
      </c>
      <c r="I3">
        <v>2</v>
      </c>
      <c r="J3">
        <v>21</v>
      </c>
      <c r="K3">
        <v>7</v>
      </c>
      <c r="L3">
        <v>13</v>
      </c>
      <c r="M3">
        <v>11</v>
      </c>
      <c r="N3" s="1">
        <v>0.545</v>
      </c>
      <c r="O3" s="1">
        <v>0.24</v>
      </c>
      <c r="P3">
        <v>21022</v>
      </c>
      <c r="Q3">
        <v>210</v>
      </c>
      <c r="R3">
        <v>16</v>
      </c>
      <c r="S3">
        <v>446</v>
      </c>
      <c r="T3">
        <v>550</v>
      </c>
      <c r="U3">
        <v>3</v>
      </c>
      <c r="V3">
        <v>0</v>
      </c>
      <c r="W3">
        <v>0</v>
      </c>
      <c r="X3">
        <v>35898</v>
      </c>
      <c r="Y3">
        <v>892</v>
      </c>
      <c r="Z3">
        <v>56824</v>
      </c>
      <c r="AA3" s="1">
        <v>0.473</v>
      </c>
      <c r="AB3">
        <v>3434</v>
      </c>
      <c r="AC3" s="3">
        <v>0.459027777777778</v>
      </c>
      <c r="AD3">
        <v>5</v>
      </c>
      <c r="AE3">
        <v>3695</v>
      </c>
      <c r="AF3">
        <v>7</v>
      </c>
      <c r="AG3">
        <v>0</v>
      </c>
      <c r="AH3">
        <v>4</v>
      </c>
      <c r="AI3">
        <v>1</v>
      </c>
    </row>
    <row r="4" spans="1:35">
      <c r="A4">
        <v>260512</v>
      </c>
      <c r="B4">
        <v>1</v>
      </c>
      <c r="C4" t="s">
        <v>83</v>
      </c>
      <c r="D4" t="s">
        <v>84</v>
      </c>
      <c r="E4">
        <v>33</v>
      </c>
      <c r="F4" t="s">
        <v>34</v>
      </c>
      <c r="G4">
        <f>VLOOKUP(F4,选手工资!$A:$G,7,FALSE)</f>
        <v>2.5</v>
      </c>
      <c r="H4" t="s">
        <v>132</v>
      </c>
      <c r="I4">
        <v>1</v>
      </c>
      <c r="J4">
        <v>25</v>
      </c>
      <c r="K4">
        <v>1</v>
      </c>
      <c r="L4">
        <v>7</v>
      </c>
      <c r="M4">
        <v>9</v>
      </c>
      <c r="N4" s="1">
        <v>0.303</v>
      </c>
      <c r="O4" s="1">
        <v>0.048</v>
      </c>
      <c r="P4">
        <v>19127</v>
      </c>
      <c r="Q4">
        <v>475</v>
      </c>
      <c r="R4">
        <v>2</v>
      </c>
      <c r="S4">
        <v>729</v>
      </c>
      <c r="T4">
        <v>765</v>
      </c>
      <c r="U4">
        <v>3</v>
      </c>
      <c r="V4">
        <v>0</v>
      </c>
      <c r="W4">
        <v>1</v>
      </c>
      <c r="X4">
        <v>7189</v>
      </c>
      <c r="Y4">
        <v>0</v>
      </c>
      <c r="Z4">
        <v>32331</v>
      </c>
      <c r="AA4" s="1">
        <v>0.389</v>
      </c>
      <c r="AB4">
        <v>1651</v>
      </c>
      <c r="AC4" s="3">
        <v>0.254166666666667</v>
      </c>
      <c r="AD4">
        <v>6</v>
      </c>
      <c r="AE4">
        <v>4035</v>
      </c>
      <c r="AF4">
        <v>6</v>
      </c>
      <c r="AG4">
        <v>0</v>
      </c>
      <c r="AH4">
        <v>6</v>
      </c>
      <c r="AI4">
        <v>0</v>
      </c>
    </row>
    <row r="5" spans="1:35">
      <c r="A5">
        <v>260512</v>
      </c>
      <c r="B5">
        <v>1</v>
      </c>
      <c r="C5" t="s">
        <v>83</v>
      </c>
      <c r="D5" t="s">
        <v>84</v>
      </c>
      <c r="E5">
        <v>33</v>
      </c>
      <c r="F5" t="s">
        <v>27</v>
      </c>
      <c r="G5">
        <f>VLOOKUP(F5,选手工资!$A:$G,7,FALSE)</f>
        <v>6.5</v>
      </c>
      <c r="H5" t="s">
        <v>102</v>
      </c>
      <c r="I5">
        <v>4</v>
      </c>
      <c r="J5">
        <v>26</v>
      </c>
      <c r="K5">
        <v>8</v>
      </c>
      <c r="L5">
        <v>7</v>
      </c>
      <c r="M5">
        <v>12</v>
      </c>
      <c r="N5" s="1">
        <v>0.606</v>
      </c>
      <c r="O5" s="1">
        <v>0.33</v>
      </c>
      <c r="P5">
        <v>23072</v>
      </c>
      <c r="Q5">
        <v>263</v>
      </c>
      <c r="R5">
        <v>1</v>
      </c>
      <c r="S5">
        <v>539</v>
      </c>
      <c r="T5">
        <v>900</v>
      </c>
      <c r="U5">
        <v>2</v>
      </c>
      <c r="V5">
        <v>0</v>
      </c>
      <c r="W5">
        <v>0</v>
      </c>
      <c r="X5">
        <v>49277</v>
      </c>
      <c r="Y5">
        <v>5009</v>
      </c>
      <c r="Z5">
        <v>37406</v>
      </c>
      <c r="AA5" s="1">
        <v>0.408</v>
      </c>
      <c r="AB5">
        <v>2944</v>
      </c>
      <c r="AC5" s="3">
        <v>0.228472222222222</v>
      </c>
      <c r="AD5">
        <v>1</v>
      </c>
      <c r="AE5">
        <v>2702</v>
      </c>
      <c r="AF5">
        <v>6</v>
      </c>
      <c r="AG5">
        <v>600</v>
      </c>
      <c r="AH5">
        <v>2</v>
      </c>
      <c r="AI5">
        <v>1</v>
      </c>
    </row>
    <row r="6" spans="1:35">
      <c r="A6">
        <v>260512</v>
      </c>
      <c r="B6">
        <v>1</v>
      </c>
      <c r="C6" t="s">
        <v>83</v>
      </c>
      <c r="D6" t="s">
        <v>84</v>
      </c>
      <c r="E6">
        <v>33</v>
      </c>
      <c r="F6" t="s">
        <v>41</v>
      </c>
      <c r="G6">
        <f>VLOOKUP(F6,选手工资!$A:$G,7,FALSE)</f>
        <v>2</v>
      </c>
      <c r="H6" t="s">
        <v>88</v>
      </c>
      <c r="I6">
        <v>5</v>
      </c>
      <c r="J6">
        <v>20</v>
      </c>
      <c r="K6">
        <v>3</v>
      </c>
      <c r="L6">
        <v>10</v>
      </c>
      <c r="M6">
        <v>13</v>
      </c>
      <c r="N6" s="1">
        <v>0.485</v>
      </c>
      <c r="O6" s="1">
        <v>0.099</v>
      </c>
      <c r="P6">
        <v>10622</v>
      </c>
      <c r="Q6">
        <v>59</v>
      </c>
      <c r="R6">
        <v>0</v>
      </c>
      <c r="S6">
        <v>314</v>
      </c>
      <c r="T6">
        <v>517</v>
      </c>
      <c r="U6">
        <v>1</v>
      </c>
      <c r="V6">
        <v>1200</v>
      </c>
      <c r="W6">
        <v>1</v>
      </c>
      <c r="X6">
        <v>14855</v>
      </c>
      <c r="Y6">
        <v>214</v>
      </c>
      <c r="Z6">
        <v>41120</v>
      </c>
      <c r="AA6" s="1">
        <v>0.376</v>
      </c>
      <c r="AB6">
        <v>1277</v>
      </c>
      <c r="AC6" s="3">
        <v>0.278472222222222</v>
      </c>
      <c r="AD6">
        <v>2</v>
      </c>
      <c r="AE6">
        <v>2012</v>
      </c>
      <c r="AF6">
        <v>5</v>
      </c>
      <c r="AG6">
        <v>1030</v>
      </c>
      <c r="AH6">
        <v>3</v>
      </c>
      <c r="AI6">
        <v>9</v>
      </c>
    </row>
    <row r="7" spans="1:35">
      <c r="A7">
        <v>260512</v>
      </c>
      <c r="B7">
        <v>1</v>
      </c>
      <c r="C7" t="s">
        <v>76</v>
      </c>
      <c r="D7" t="s">
        <v>77</v>
      </c>
      <c r="E7">
        <v>46</v>
      </c>
      <c r="F7" t="s">
        <v>16</v>
      </c>
      <c r="G7">
        <v>7</v>
      </c>
      <c r="H7" t="s">
        <v>96</v>
      </c>
      <c r="I7">
        <v>2</v>
      </c>
      <c r="J7">
        <v>27</v>
      </c>
      <c r="K7">
        <v>16</v>
      </c>
      <c r="L7">
        <v>4</v>
      </c>
      <c r="M7">
        <v>21</v>
      </c>
      <c r="N7" s="1">
        <v>0.804</v>
      </c>
      <c r="O7" s="1">
        <v>0.305</v>
      </c>
      <c r="P7">
        <v>34029</v>
      </c>
      <c r="Q7">
        <v>405</v>
      </c>
      <c r="R7">
        <v>7</v>
      </c>
      <c r="S7">
        <v>788</v>
      </c>
      <c r="T7">
        <v>1030</v>
      </c>
      <c r="U7">
        <v>1</v>
      </c>
      <c r="V7">
        <v>12623</v>
      </c>
      <c r="W7">
        <v>0</v>
      </c>
      <c r="X7">
        <v>42902</v>
      </c>
      <c r="Y7">
        <v>1798</v>
      </c>
      <c r="Z7">
        <v>83858</v>
      </c>
      <c r="AA7" s="1">
        <v>0.494</v>
      </c>
      <c r="AB7">
        <v>1787</v>
      </c>
      <c r="AC7" s="3">
        <v>0.197222222222222</v>
      </c>
      <c r="AD7">
        <v>4</v>
      </c>
      <c r="AE7">
        <v>5313</v>
      </c>
      <c r="AF7">
        <v>9</v>
      </c>
      <c r="AG7">
        <v>100</v>
      </c>
      <c r="AH7">
        <v>2</v>
      </c>
      <c r="AI7">
        <v>4</v>
      </c>
    </row>
    <row r="8" spans="1:35">
      <c r="A8">
        <v>260512</v>
      </c>
      <c r="B8">
        <v>1</v>
      </c>
      <c r="C8" t="s">
        <v>76</v>
      </c>
      <c r="D8" t="s">
        <v>77</v>
      </c>
      <c r="E8">
        <v>46</v>
      </c>
      <c r="F8" t="s">
        <v>30</v>
      </c>
      <c r="G8">
        <f>VLOOKUP(F8,选手工资!$A:$G,7,FALSE)</f>
        <v>3.5</v>
      </c>
      <c r="H8" t="s">
        <v>93</v>
      </c>
      <c r="I8">
        <v>1</v>
      </c>
      <c r="J8">
        <v>28</v>
      </c>
      <c r="K8">
        <v>12</v>
      </c>
      <c r="L8">
        <v>6</v>
      </c>
      <c r="M8">
        <v>15</v>
      </c>
      <c r="N8" s="1">
        <v>0.587</v>
      </c>
      <c r="O8" s="1">
        <v>0.262</v>
      </c>
      <c r="P8">
        <v>31967</v>
      </c>
      <c r="Q8">
        <v>487</v>
      </c>
      <c r="R8">
        <v>3</v>
      </c>
      <c r="S8">
        <v>756</v>
      </c>
      <c r="T8">
        <v>1216</v>
      </c>
      <c r="U8">
        <v>4</v>
      </c>
      <c r="V8">
        <v>9321</v>
      </c>
      <c r="W8">
        <v>0</v>
      </c>
      <c r="X8">
        <v>36960</v>
      </c>
      <c r="Y8">
        <v>15665</v>
      </c>
      <c r="Z8">
        <v>59547</v>
      </c>
      <c r="AA8" s="1">
        <v>0.504</v>
      </c>
      <c r="AB8">
        <v>1374</v>
      </c>
      <c r="AC8" s="3">
        <v>0.2</v>
      </c>
      <c r="AD8">
        <v>10</v>
      </c>
      <c r="AE8">
        <v>3487</v>
      </c>
      <c r="AF8">
        <v>7</v>
      </c>
      <c r="AG8">
        <v>100</v>
      </c>
      <c r="AH8">
        <v>2</v>
      </c>
      <c r="AI8">
        <v>2</v>
      </c>
    </row>
    <row r="9" spans="1:35">
      <c r="A9">
        <v>260512</v>
      </c>
      <c r="B9">
        <v>1</v>
      </c>
      <c r="C9" t="s">
        <v>76</v>
      </c>
      <c r="D9" t="s">
        <v>77</v>
      </c>
      <c r="E9">
        <v>46</v>
      </c>
      <c r="F9" t="s">
        <v>36</v>
      </c>
      <c r="G9">
        <f>VLOOKUP(F9,选手工资!$A:$G,7,FALSE)</f>
        <v>4.5</v>
      </c>
      <c r="H9" t="s">
        <v>149</v>
      </c>
      <c r="I9">
        <v>3</v>
      </c>
      <c r="J9">
        <v>26</v>
      </c>
      <c r="K9">
        <v>7</v>
      </c>
      <c r="L9">
        <v>10</v>
      </c>
      <c r="M9">
        <v>23</v>
      </c>
      <c r="N9" s="1">
        <v>0.652</v>
      </c>
      <c r="O9" s="1">
        <v>0.16</v>
      </c>
      <c r="P9">
        <v>22771</v>
      </c>
      <c r="Q9">
        <v>287</v>
      </c>
      <c r="R9">
        <v>12</v>
      </c>
      <c r="S9">
        <v>577</v>
      </c>
      <c r="T9">
        <v>932</v>
      </c>
      <c r="U9">
        <v>4</v>
      </c>
      <c r="V9">
        <v>0</v>
      </c>
      <c r="W9">
        <v>1</v>
      </c>
      <c r="X9">
        <v>22555</v>
      </c>
      <c r="Y9">
        <v>1922</v>
      </c>
      <c r="Z9">
        <v>78222</v>
      </c>
      <c r="AA9" s="1">
        <v>0.448</v>
      </c>
      <c r="AB9">
        <v>2094</v>
      </c>
      <c r="AC9" s="3">
        <v>0.241666666666667</v>
      </c>
      <c r="AD9">
        <v>7</v>
      </c>
      <c r="AE9">
        <v>3731</v>
      </c>
      <c r="AF9">
        <v>6</v>
      </c>
      <c r="AG9">
        <v>0</v>
      </c>
      <c r="AH9">
        <v>1</v>
      </c>
      <c r="AI9">
        <v>1</v>
      </c>
    </row>
    <row r="10" spans="1:35">
      <c r="A10">
        <v>260512</v>
      </c>
      <c r="B10">
        <v>1</v>
      </c>
      <c r="C10" t="s">
        <v>76</v>
      </c>
      <c r="D10" t="s">
        <v>77</v>
      </c>
      <c r="E10">
        <v>46</v>
      </c>
      <c r="F10" t="s">
        <v>25</v>
      </c>
      <c r="G10">
        <f>VLOOKUP(F10,选手工资!$A:$G,7,FALSE)</f>
        <v>5.5</v>
      </c>
      <c r="H10" t="s">
        <v>106</v>
      </c>
      <c r="I10">
        <v>4</v>
      </c>
      <c r="J10">
        <v>23</v>
      </c>
      <c r="K10">
        <v>4</v>
      </c>
      <c r="L10">
        <v>4</v>
      </c>
      <c r="M10">
        <v>31</v>
      </c>
      <c r="N10" s="1">
        <v>0.761</v>
      </c>
      <c r="O10" s="1">
        <v>0.148</v>
      </c>
      <c r="P10">
        <v>15565</v>
      </c>
      <c r="Q10">
        <v>53</v>
      </c>
      <c r="R10">
        <v>1</v>
      </c>
      <c r="S10">
        <v>368</v>
      </c>
      <c r="T10">
        <v>665</v>
      </c>
      <c r="U10">
        <v>3</v>
      </c>
      <c r="V10">
        <v>1714</v>
      </c>
      <c r="W10">
        <v>1</v>
      </c>
      <c r="X10">
        <v>20779</v>
      </c>
      <c r="Y10">
        <v>825</v>
      </c>
      <c r="Z10">
        <v>23238</v>
      </c>
      <c r="AA10" s="1">
        <v>0.354</v>
      </c>
      <c r="AB10">
        <v>616</v>
      </c>
      <c r="AC10" s="3">
        <v>0.11875</v>
      </c>
      <c r="AD10">
        <v>3</v>
      </c>
      <c r="AE10">
        <v>2298</v>
      </c>
      <c r="AF10">
        <v>6</v>
      </c>
      <c r="AG10">
        <v>900</v>
      </c>
      <c r="AH10">
        <v>4</v>
      </c>
      <c r="AI10">
        <v>7</v>
      </c>
    </row>
    <row r="11" spans="1:35">
      <c r="A11">
        <v>260512</v>
      </c>
      <c r="B11">
        <v>1</v>
      </c>
      <c r="C11" t="s">
        <v>76</v>
      </c>
      <c r="D11" t="s">
        <v>77</v>
      </c>
      <c r="E11">
        <v>46</v>
      </c>
      <c r="F11" t="s">
        <v>24</v>
      </c>
      <c r="G11">
        <f>VLOOKUP(F11,选手工资!$A:$G,7,FALSE)</f>
        <v>5</v>
      </c>
      <c r="H11" t="s">
        <v>94</v>
      </c>
      <c r="I11">
        <v>5</v>
      </c>
      <c r="J11">
        <v>23</v>
      </c>
      <c r="K11">
        <v>7</v>
      </c>
      <c r="L11">
        <v>9</v>
      </c>
      <c r="M11">
        <v>24</v>
      </c>
      <c r="N11" s="1">
        <v>0.674</v>
      </c>
      <c r="O11" s="1">
        <v>0.125</v>
      </c>
      <c r="P11">
        <v>14004</v>
      </c>
      <c r="Q11">
        <v>47</v>
      </c>
      <c r="R11">
        <v>1</v>
      </c>
      <c r="S11">
        <v>368</v>
      </c>
      <c r="T11">
        <v>678</v>
      </c>
      <c r="U11">
        <v>0</v>
      </c>
      <c r="V11">
        <v>0</v>
      </c>
      <c r="W11">
        <v>0</v>
      </c>
      <c r="X11">
        <v>17655</v>
      </c>
      <c r="Y11">
        <v>593</v>
      </c>
      <c r="Z11">
        <v>32029</v>
      </c>
      <c r="AA11" s="1">
        <v>0.401</v>
      </c>
      <c r="AB11">
        <v>970</v>
      </c>
      <c r="AC11" s="3">
        <v>0.190972222222222</v>
      </c>
      <c r="AD11">
        <v>8</v>
      </c>
      <c r="AE11">
        <v>2031</v>
      </c>
      <c r="AF11">
        <v>5</v>
      </c>
      <c r="AG11">
        <v>930</v>
      </c>
      <c r="AH11">
        <v>3</v>
      </c>
      <c r="AI11">
        <v>2</v>
      </c>
    </row>
    <row r="14" spans="1:35">
      <c r="A14" t="s">
        <v>90</v>
      </c>
      <c r="B14" s="4">
        <v>8808071411</v>
      </c>
      <c r="C14" s="4"/>
    </row>
    <row r="15" spans="1:35">
      <c r="A15" t="s">
        <v>91</v>
      </c>
      <c r="B15" s="7" t="s">
        <v>188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J16" sqref="J16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260512</v>
      </c>
      <c r="B2">
        <v>2</v>
      </c>
      <c r="C2" t="s">
        <v>83</v>
      </c>
      <c r="D2" t="s">
        <v>84</v>
      </c>
      <c r="E2">
        <v>18</v>
      </c>
      <c r="F2" t="s">
        <v>30</v>
      </c>
      <c r="G2">
        <f>VLOOKUP(F2,选手工资!$A:$G,7,FALSE)</f>
        <v>3.5</v>
      </c>
      <c r="H2" t="s">
        <v>102</v>
      </c>
      <c r="I2">
        <v>2</v>
      </c>
      <c r="J2">
        <v>20</v>
      </c>
      <c r="K2">
        <v>4</v>
      </c>
      <c r="L2">
        <v>5</v>
      </c>
      <c r="M2">
        <v>8</v>
      </c>
      <c r="N2" s="1">
        <v>0.667</v>
      </c>
      <c r="O2" s="1">
        <v>0.361</v>
      </c>
      <c r="P2">
        <v>19401</v>
      </c>
      <c r="Q2">
        <v>280</v>
      </c>
      <c r="R2">
        <v>4</v>
      </c>
      <c r="S2">
        <v>507</v>
      </c>
      <c r="T2">
        <v>679</v>
      </c>
      <c r="U2">
        <v>4</v>
      </c>
      <c r="V2">
        <v>0</v>
      </c>
      <c r="W2">
        <v>0</v>
      </c>
      <c r="X2">
        <v>23916</v>
      </c>
      <c r="Y2">
        <v>734</v>
      </c>
      <c r="Z2">
        <v>30294</v>
      </c>
      <c r="AA2" s="1">
        <v>0.437</v>
      </c>
      <c r="AB2">
        <v>1260</v>
      </c>
      <c r="AC2" s="3">
        <v>0.1875</v>
      </c>
      <c r="AD2">
        <v>9</v>
      </c>
      <c r="AE2">
        <v>4051</v>
      </c>
      <c r="AF2">
        <v>8</v>
      </c>
      <c r="AG2">
        <v>50</v>
      </c>
      <c r="AH2">
        <v>0</v>
      </c>
      <c r="AI2">
        <v>0</v>
      </c>
    </row>
    <row r="3" spans="1:35">
      <c r="A3">
        <v>260512</v>
      </c>
      <c r="B3">
        <v>2</v>
      </c>
      <c r="C3" t="s">
        <v>76</v>
      </c>
      <c r="D3" t="s">
        <v>77</v>
      </c>
      <c r="E3">
        <v>36</v>
      </c>
      <c r="F3" t="s">
        <v>19</v>
      </c>
      <c r="G3">
        <f>VLOOKUP(F3,选手工资!$A:$G,7,FALSE)</f>
        <v>9</v>
      </c>
      <c r="H3" t="s">
        <v>125</v>
      </c>
      <c r="I3">
        <v>2</v>
      </c>
      <c r="J3">
        <v>23</v>
      </c>
      <c r="K3">
        <v>15</v>
      </c>
      <c r="L3">
        <v>2</v>
      </c>
      <c r="M3">
        <v>10</v>
      </c>
      <c r="N3" s="1">
        <v>0.694</v>
      </c>
      <c r="O3" s="1">
        <v>0.378</v>
      </c>
      <c r="P3">
        <v>21040</v>
      </c>
      <c r="Q3">
        <v>235</v>
      </c>
      <c r="R3">
        <v>10</v>
      </c>
      <c r="S3">
        <v>688</v>
      </c>
      <c r="T3">
        <v>911</v>
      </c>
      <c r="U3">
        <v>0</v>
      </c>
      <c r="V3">
        <v>0</v>
      </c>
      <c r="W3">
        <v>0</v>
      </c>
      <c r="X3">
        <v>30963</v>
      </c>
      <c r="Y3">
        <v>9324</v>
      </c>
      <c r="Z3">
        <v>22300</v>
      </c>
      <c r="AA3" s="1">
        <v>0.465</v>
      </c>
      <c r="AB3">
        <v>433</v>
      </c>
      <c r="AC3" s="3">
        <v>0.0618055555555556</v>
      </c>
      <c r="AD3">
        <v>3</v>
      </c>
      <c r="AE3">
        <v>3595</v>
      </c>
      <c r="AF3">
        <v>8</v>
      </c>
      <c r="AG3">
        <v>50</v>
      </c>
      <c r="AH3">
        <v>0</v>
      </c>
      <c r="AI3">
        <v>5</v>
      </c>
    </row>
    <row r="4" spans="1:35">
      <c r="A4">
        <v>260512</v>
      </c>
      <c r="B4">
        <v>2</v>
      </c>
      <c r="C4" t="s">
        <v>83</v>
      </c>
      <c r="D4" t="s">
        <v>84</v>
      </c>
      <c r="E4">
        <v>18</v>
      </c>
      <c r="F4" t="s">
        <v>13</v>
      </c>
      <c r="G4">
        <f>VLOOKUP(F4,选手工资!$A:$G,7,FALSE)</f>
        <v>10.5</v>
      </c>
      <c r="H4" t="s">
        <v>132</v>
      </c>
      <c r="I4">
        <v>1</v>
      </c>
      <c r="J4">
        <v>18</v>
      </c>
      <c r="K4">
        <v>3</v>
      </c>
      <c r="L4">
        <v>8</v>
      </c>
      <c r="M4">
        <v>7</v>
      </c>
      <c r="N4" s="1">
        <v>0.556</v>
      </c>
      <c r="O4" s="1">
        <v>0.162</v>
      </c>
      <c r="P4">
        <v>14835</v>
      </c>
      <c r="Q4">
        <v>312</v>
      </c>
      <c r="R4">
        <v>7</v>
      </c>
      <c r="S4">
        <v>642</v>
      </c>
      <c r="T4">
        <v>593</v>
      </c>
      <c r="U4">
        <v>3</v>
      </c>
      <c r="V4">
        <v>0</v>
      </c>
      <c r="W4">
        <v>0</v>
      </c>
      <c r="X4">
        <v>10735</v>
      </c>
      <c r="Y4">
        <v>45</v>
      </c>
      <c r="Z4">
        <v>26517</v>
      </c>
      <c r="AA4" s="1">
        <v>0.305</v>
      </c>
      <c r="AB4">
        <v>1558</v>
      </c>
      <c r="AC4" s="3">
        <v>0.202083333333333</v>
      </c>
      <c r="AD4">
        <v>2</v>
      </c>
      <c r="AE4">
        <v>4661</v>
      </c>
      <c r="AF4">
        <v>7</v>
      </c>
      <c r="AG4">
        <v>50</v>
      </c>
      <c r="AH4">
        <v>8</v>
      </c>
      <c r="AI4">
        <v>1</v>
      </c>
    </row>
    <row r="5" spans="1:35">
      <c r="A5">
        <v>260512</v>
      </c>
      <c r="B5">
        <v>2</v>
      </c>
      <c r="C5" t="s">
        <v>83</v>
      </c>
      <c r="D5" t="s">
        <v>84</v>
      </c>
      <c r="E5">
        <v>18</v>
      </c>
      <c r="F5" t="s">
        <v>36</v>
      </c>
      <c r="G5">
        <f>VLOOKUP(F5,选手工资!$A:$G,7,FALSE)</f>
        <v>4.5</v>
      </c>
      <c r="H5" t="s">
        <v>182</v>
      </c>
      <c r="I5">
        <v>3</v>
      </c>
      <c r="J5">
        <v>15</v>
      </c>
      <c r="K5">
        <v>2</v>
      </c>
      <c r="L5">
        <v>5</v>
      </c>
      <c r="M5">
        <v>8</v>
      </c>
      <c r="N5" s="1">
        <v>0.556</v>
      </c>
      <c r="O5" s="1">
        <v>0.17</v>
      </c>
      <c r="P5">
        <v>12404</v>
      </c>
      <c r="Q5">
        <v>216</v>
      </c>
      <c r="R5">
        <v>5</v>
      </c>
      <c r="S5">
        <v>408</v>
      </c>
      <c r="T5">
        <v>400</v>
      </c>
      <c r="U5">
        <v>0</v>
      </c>
      <c r="V5">
        <v>0</v>
      </c>
      <c r="W5">
        <v>0</v>
      </c>
      <c r="X5">
        <v>11278</v>
      </c>
      <c r="Y5">
        <v>1182</v>
      </c>
      <c r="Z5">
        <v>32277</v>
      </c>
      <c r="AA5" s="1">
        <v>0.365</v>
      </c>
      <c r="AB5">
        <v>928</v>
      </c>
      <c r="AC5" s="3">
        <v>0.145138888888889</v>
      </c>
      <c r="AD5">
        <v>6</v>
      </c>
      <c r="AE5">
        <v>3805</v>
      </c>
      <c r="AF5">
        <v>7</v>
      </c>
      <c r="AG5">
        <v>0</v>
      </c>
      <c r="AH5">
        <v>0</v>
      </c>
      <c r="AI5">
        <v>0</v>
      </c>
    </row>
    <row r="6" spans="1:35">
      <c r="A6">
        <v>260512</v>
      </c>
      <c r="B6">
        <v>2</v>
      </c>
      <c r="C6" t="s">
        <v>76</v>
      </c>
      <c r="D6" t="s">
        <v>77</v>
      </c>
      <c r="E6">
        <v>36</v>
      </c>
      <c r="F6" t="s">
        <v>16</v>
      </c>
      <c r="G6">
        <f>VLOOKUP(F6,选手工资!$A:$G,7,FALSE)</f>
        <v>7</v>
      </c>
      <c r="H6" t="s">
        <v>80</v>
      </c>
      <c r="I6">
        <v>3</v>
      </c>
      <c r="J6">
        <v>21</v>
      </c>
      <c r="K6">
        <v>9</v>
      </c>
      <c r="L6">
        <v>6</v>
      </c>
      <c r="M6">
        <v>17</v>
      </c>
      <c r="N6" s="1">
        <v>0.722</v>
      </c>
      <c r="O6" s="1">
        <v>0.2</v>
      </c>
      <c r="P6">
        <v>19448</v>
      </c>
      <c r="Q6">
        <v>231</v>
      </c>
      <c r="R6">
        <v>11</v>
      </c>
      <c r="S6">
        <v>637</v>
      </c>
      <c r="T6">
        <v>759</v>
      </c>
      <c r="U6">
        <v>2</v>
      </c>
      <c r="V6">
        <v>5150</v>
      </c>
      <c r="W6">
        <v>0</v>
      </c>
      <c r="X6">
        <v>16391</v>
      </c>
      <c r="Y6">
        <v>3799</v>
      </c>
      <c r="Z6">
        <v>25902</v>
      </c>
      <c r="AA6" s="1">
        <v>0.401</v>
      </c>
      <c r="AB6">
        <v>591</v>
      </c>
      <c r="AC6" s="3">
        <v>0.119444444444444</v>
      </c>
      <c r="AD6">
        <v>8</v>
      </c>
      <c r="AE6">
        <v>3732</v>
      </c>
      <c r="AF6">
        <v>7</v>
      </c>
      <c r="AG6">
        <v>0</v>
      </c>
      <c r="AH6">
        <v>0</v>
      </c>
      <c r="AI6">
        <v>0</v>
      </c>
    </row>
    <row r="7" spans="1:35">
      <c r="A7">
        <v>260512</v>
      </c>
      <c r="B7">
        <v>2</v>
      </c>
      <c r="C7" t="s">
        <v>76</v>
      </c>
      <c r="D7" t="s">
        <v>77</v>
      </c>
      <c r="E7">
        <v>36</v>
      </c>
      <c r="F7" t="s">
        <v>34</v>
      </c>
      <c r="G7">
        <f>VLOOKUP(F7,选手工资!$A:$G,7,FALSE)</f>
        <v>2.5</v>
      </c>
      <c r="H7" t="s">
        <v>105</v>
      </c>
      <c r="I7">
        <v>1</v>
      </c>
      <c r="J7">
        <v>20</v>
      </c>
      <c r="K7">
        <v>4</v>
      </c>
      <c r="L7">
        <v>0</v>
      </c>
      <c r="M7">
        <v>20</v>
      </c>
      <c r="N7" s="1">
        <v>0.667</v>
      </c>
      <c r="O7" s="1">
        <v>0.205</v>
      </c>
      <c r="P7">
        <v>22198</v>
      </c>
      <c r="Q7">
        <v>303</v>
      </c>
      <c r="R7">
        <v>10</v>
      </c>
      <c r="S7">
        <v>687</v>
      </c>
      <c r="T7">
        <v>733</v>
      </c>
      <c r="U7">
        <v>1</v>
      </c>
      <c r="V7">
        <v>0</v>
      </c>
      <c r="W7">
        <v>0</v>
      </c>
      <c r="X7">
        <v>16779</v>
      </c>
      <c r="Y7">
        <v>10804</v>
      </c>
      <c r="Z7">
        <v>24455</v>
      </c>
      <c r="AA7" s="1">
        <v>0.36</v>
      </c>
      <c r="AB7">
        <v>0</v>
      </c>
      <c r="AC7" s="3">
        <v>0.00486111111111111</v>
      </c>
      <c r="AD7">
        <v>10</v>
      </c>
      <c r="AE7">
        <v>4087</v>
      </c>
      <c r="AF7">
        <v>6</v>
      </c>
      <c r="AG7">
        <v>0</v>
      </c>
      <c r="AH7">
        <v>2</v>
      </c>
      <c r="AI7">
        <v>1</v>
      </c>
    </row>
    <row r="8" spans="1:35">
      <c r="A8">
        <v>260512</v>
      </c>
      <c r="B8">
        <v>2</v>
      </c>
      <c r="C8" t="s">
        <v>76</v>
      </c>
      <c r="D8" t="s">
        <v>77</v>
      </c>
      <c r="E8">
        <v>36</v>
      </c>
      <c r="F8" t="s">
        <v>20</v>
      </c>
      <c r="G8">
        <f>VLOOKUP(F8,选手工资!$A:$G,7,FALSE)</f>
        <v>7.5</v>
      </c>
      <c r="H8" t="s">
        <v>140</v>
      </c>
      <c r="I8">
        <v>4</v>
      </c>
      <c r="J8">
        <v>18</v>
      </c>
      <c r="K8">
        <v>4</v>
      </c>
      <c r="L8">
        <v>4</v>
      </c>
      <c r="M8">
        <v>13</v>
      </c>
      <c r="N8" s="1">
        <v>0.472</v>
      </c>
      <c r="O8" s="1">
        <v>0.133</v>
      </c>
      <c r="P8">
        <v>12601</v>
      </c>
      <c r="Q8">
        <v>74</v>
      </c>
      <c r="R8">
        <v>1</v>
      </c>
      <c r="S8">
        <v>376</v>
      </c>
      <c r="T8">
        <v>566</v>
      </c>
      <c r="U8">
        <v>1</v>
      </c>
      <c r="V8">
        <v>0</v>
      </c>
      <c r="W8">
        <v>0</v>
      </c>
      <c r="X8">
        <v>10903</v>
      </c>
      <c r="Y8">
        <v>1108</v>
      </c>
      <c r="Z8">
        <v>16885</v>
      </c>
      <c r="AA8" s="1">
        <v>0.372</v>
      </c>
      <c r="AB8">
        <v>326</v>
      </c>
      <c r="AC8" s="3">
        <v>0.0840277777777778</v>
      </c>
      <c r="AD8">
        <v>4</v>
      </c>
      <c r="AE8">
        <v>2401</v>
      </c>
      <c r="AF8">
        <v>6</v>
      </c>
      <c r="AG8">
        <v>500</v>
      </c>
      <c r="AH8">
        <v>1</v>
      </c>
      <c r="AI8">
        <v>3</v>
      </c>
    </row>
    <row r="9" spans="1:35">
      <c r="A9">
        <v>260512</v>
      </c>
      <c r="B9">
        <v>2</v>
      </c>
      <c r="C9" t="s">
        <v>76</v>
      </c>
      <c r="D9" t="s">
        <v>77</v>
      </c>
      <c r="E9">
        <v>36</v>
      </c>
      <c r="F9" t="s">
        <v>24</v>
      </c>
      <c r="G9">
        <f>VLOOKUP(F9,选手工资!$A:$G,7,FALSE)</f>
        <v>5</v>
      </c>
      <c r="H9" t="s">
        <v>123</v>
      </c>
      <c r="I9">
        <v>5</v>
      </c>
      <c r="J9">
        <v>14</v>
      </c>
      <c r="K9">
        <v>3</v>
      </c>
      <c r="L9">
        <v>6</v>
      </c>
      <c r="M9">
        <v>17</v>
      </c>
      <c r="N9" s="1">
        <v>0.556</v>
      </c>
      <c r="O9" s="1">
        <v>0.085</v>
      </c>
      <c r="P9">
        <v>8651</v>
      </c>
      <c r="Q9">
        <v>12</v>
      </c>
      <c r="R9">
        <v>1</v>
      </c>
      <c r="S9">
        <v>298</v>
      </c>
      <c r="T9">
        <v>375</v>
      </c>
      <c r="U9">
        <v>3</v>
      </c>
      <c r="V9">
        <v>0</v>
      </c>
      <c r="W9">
        <v>0</v>
      </c>
      <c r="X9">
        <v>6935</v>
      </c>
      <c r="Y9">
        <v>581</v>
      </c>
      <c r="Z9">
        <v>18346</v>
      </c>
      <c r="AA9" s="1">
        <v>0.317</v>
      </c>
      <c r="AB9">
        <v>402</v>
      </c>
      <c r="AC9" s="3">
        <v>0.129861111111111</v>
      </c>
      <c r="AD9">
        <v>7</v>
      </c>
      <c r="AE9">
        <v>1964</v>
      </c>
      <c r="AF9">
        <v>5</v>
      </c>
      <c r="AG9">
        <v>700</v>
      </c>
      <c r="AH9">
        <v>1</v>
      </c>
      <c r="AI9">
        <v>5</v>
      </c>
    </row>
    <row r="10" spans="1:35">
      <c r="A10">
        <v>260512</v>
      </c>
      <c r="B10">
        <v>2</v>
      </c>
      <c r="C10" t="s">
        <v>83</v>
      </c>
      <c r="D10" t="s">
        <v>84</v>
      </c>
      <c r="E10">
        <v>18</v>
      </c>
      <c r="F10" t="s">
        <v>25</v>
      </c>
      <c r="G10">
        <f>VLOOKUP(F10,选手工资!$A:$G,7,FALSE)</f>
        <v>5.5</v>
      </c>
      <c r="H10" t="s">
        <v>189</v>
      </c>
      <c r="I10">
        <v>4</v>
      </c>
      <c r="J10">
        <v>14</v>
      </c>
      <c r="K10">
        <v>9</v>
      </c>
      <c r="L10">
        <v>6</v>
      </c>
      <c r="M10">
        <v>6</v>
      </c>
      <c r="N10" s="1">
        <v>0.833</v>
      </c>
      <c r="O10" s="1">
        <v>0.213</v>
      </c>
      <c r="P10">
        <v>8036</v>
      </c>
      <c r="Q10">
        <v>23</v>
      </c>
      <c r="R10">
        <v>1</v>
      </c>
      <c r="S10">
        <v>283</v>
      </c>
      <c r="T10">
        <v>358</v>
      </c>
      <c r="U10">
        <v>1</v>
      </c>
      <c r="V10">
        <v>0</v>
      </c>
      <c r="W10">
        <v>0</v>
      </c>
      <c r="X10">
        <v>14126</v>
      </c>
      <c r="Y10">
        <v>25</v>
      </c>
      <c r="Z10">
        <v>14840</v>
      </c>
      <c r="AA10" s="1">
        <v>0.27</v>
      </c>
      <c r="AB10">
        <v>366</v>
      </c>
      <c r="AC10" s="3">
        <v>0.120138888888889</v>
      </c>
      <c r="AD10">
        <v>1</v>
      </c>
      <c r="AE10">
        <v>1957</v>
      </c>
      <c r="AF10">
        <v>5</v>
      </c>
      <c r="AG10">
        <v>550</v>
      </c>
      <c r="AH10">
        <v>4</v>
      </c>
      <c r="AI10">
        <v>4</v>
      </c>
    </row>
    <row r="11" spans="1:35">
      <c r="A11">
        <v>260512</v>
      </c>
      <c r="B11">
        <v>2</v>
      </c>
      <c r="C11" t="s">
        <v>83</v>
      </c>
      <c r="D11" t="s">
        <v>84</v>
      </c>
      <c r="E11">
        <v>18</v>
      </c>
      <c r="F11" t="s">
        <v>28</v>
      </c>
      <c r="G11">
        <f>VLOOKUP(F11,选手工资!$A:$G,7,FALSE)</f>
        <v>6</v>
      </c>
      <c r="H11" t="s">
        <v>98</v>
      </c>
      <c r="I11">
        <v>5</v>
      </c>
      <c r="J11">
        <v>13</v>
      </c>
      <c r="K11">
        <v>0</v>
      </c>
      <c r="L11">
        <v>12</v>
      </c>
      <c r="M11">
        <v>3</v>
      </c>
      <c r="N11" s="1">
        <v>0.167</v>
      </c>
      <c r="O11" s="1">
        <v>0.093</v>
      </c>
      <c r="P11">
        <v>5762</v>
      </c>
      <c r="Q11">
        <v>49</v>
      </c>
      <c r="R11">
        <v>2</v>
      </c>
      <c r="S11">
        <v>237</v>
      </c>
      <c r="T11">
        <v>319</v>
      </c>
      <c r="U11">
        <v>1</v>
      </c>
      <c r="V11">
        <v>0</v>
      </c>
      <c r="W11">
        <v>0</v>
      </c>
      <c r="X11">
        <v>6160</v>
      </c>
      <c r="Y11">
        <v>0</v>
      </c>
      <c r="Z11">
        <v>20254</v>
      </c>
      <c r="AA11" s="1">
        <v>0.253</v>
      </c>
      <c r="AB11">
        <v>517</v>
      </c>
      <c r="AC11" s="3">
        <v>0.220833333333333</v>
      </c>
      <c r="AD11">
        <v>5</v>
      </c>
      <c r="AE11">
        <v>1571</v>
      </c>
      <c r="AF11">
        <v>5</v>
      </c>
      <c r="AG11">
        <v>700</v>
      </c>
      <c r="AH11">
        <v>0</v>
      </c>
      <c r="AI11">
        <v>8</v>
      </c>
    </row>
    <row r="14" spans="1:35">
      <c r="A14" t="s">
        <v>90</v>
      </c>
      <c r="B14" s="4">
        <v>8808144637</v>
      </c>
      <c r="C14" s="4"/>
    </row>
    <row r="15" spans="1:35">
      <c r="A15" t="s">
        <v>91</v>
      </c>
      <c r="B15" s="7" t="s">
        <v>190</v>
      </c>
    </row>
  </sheetData>
  <sortState ref="A2:AI11">
    <sortCondition ref="AF2" descending="1"/>
  </sortState>
  <mergeCells count="1">
    <mergeCell ref="B14:C14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J16" sqref="J16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260512</v>
      </c>
      <c r="B2">
        <v>3</v>
      </c>
      <c r="C2" t="s">
        <v>83</v>
      </c>
      <c r="D2" t="s">
        <v>84</v>
      </c>
      <c r="E2">
        <v>40</v>
      </c>
      <c r="F2" t="s">
        <v>19</v>
      </c>
      <c r="G2">
        <f>VLOOKUP(F2,选手工资!$A:$G,7,FALSE)</f>
        <v>9</v>
      </c>
      <c r="H2" t="s">
        <v>117</v>
      </c>
      <c r="I2">
        <v>2</v>
      </c>
      <c r="J2">
        <v>23</v>
      </c>
      <c r="K2">
        <v>10</v>
      </c>
      <c r="L2">
        <v>9</v>
      </c>
      <c r="M2">
        <v>14</v>
      </c>
      <c r="N2" s="1">
        <v>0.6</v>
      </c>
      <c r="O2" s="1">
        <v>0.363</v>
      </c>
      <c r="P2">
        <v>16832</v>
      </c>
      <c r="Q2">
        <v>302</v>
      </c>
      <c r="R2">
        <v>9</v>
      </c>
      <c r="S2">
        <v>562</v>
      </c>
      <c r="T2">
        <v>830</v>
      </c>
      <c r="U2">
        <v>3</v>
      </c>
      <c r="V2">
        <v>0</v>
      </c>
      <c r="W2">
        <v>0</v>
      </c>
      <c r="X2">
        <v>47822</v>
      </c>
      <c r="Y2">
        <v>769</v>
      </c>
      <c r="Z2">
        <v>62535</v>
      </c>
      <c r="AA2" s="1">
        <v>0.377</v>
      </c>
      <c r="AB2">
        <v>1922</v>
      </c>
      <c r="AC2" s="3">
        <v>0.280555555555556</v>
      </c>
      <c r="AD2">
        <v>9</v>
      </c>
      <c r="AE2">
        <v>4957</v>
      </c>
      <c r="AF2">
        <v>9</v>
      </c>
      <c r="AG2">
        <v>200</v>
      </c>
      <c r="AH2">
        <v>1</v>
      </c>
      <c r="AI2">
        <v>2</v>
      </c>
    </row>
    <row r="3" spans="1:35">
      <c r="A3">
        <v>260512</v>
      </c>
      <c r="B3">
        <v>3</v>
      </c>
      <c r="C3" t="s">
        <v>83</v>
      </c>
      <c r="D3" t="s">
        <v>84</v>
      </c>
      <c r="E3">
        <v>40</v>
      </c>
      <c r="F3" t="s">
        <v>20</v>
      </c>
      <c r="G3">
        <f>VLOOKUP(F3,选手工资!$A:$G,7,FALSE)</f>
        <v>7.5</v>
      </c>
      <c r="H3" t="s">
        <v>81</v>
      </c>
      <c r="I3">
        <v>1</v>
      </c>
      <c r="J3">
        <v>22</v>
      </c>
      <c r="K3">
        <v>8</v>
      </c>
      <c r="L3">
        <v>11</v>
      </c>
      <c r="M3">
        <v>16</v>
      </c>
      <c r="N3" s="1">
        <v>0.6</v>
      </c>
      <c r="O3" s="1">
        <v>0.225</v>
      </c>
      <c r="P3">
        <v>14766</v>
      </c>
      <c r="Q3">
        <v>239</v>
      </c>
      <c r="R3">
        <v>2</v>
      </c>
      <c r="S3">
        <v>503</v>
      </c>
      <c r="T3">
        <v>713</v>
      </c>
      <c r="U3">
        <v>0</v>
      </c>
      <c r="V3">
        <v>0</v>
      </c>
      <c r="W3">
        <v>0</v>
      </c>
      <c r="X3">
        <v>29687</v>
      </c>
      <c r="Y3">
        <v>344</v>
      </c>
      <c r="Z3">
        <v>42853</v>
      </c>
      <c r="AA3" s="1">
        <v>0.39</v>
      </c>
      <c r="AB3">
        <v>2001</v>
      </c>
      <c r="AC3" s="3">
        <v>0.304166666666667</v>
      </c>
      <c r="AD3">
        <v>6</v>
      </c>
      <c r="AE3">
        <v>3942</v>
      </c>
      <c r="AF3">
        <v>7</v>
      </c>
      <c r="AG3">
        <v>80</v>
      </c>
      <c r="AH3">
        <v>0</v>
      </c>
      <c r="AI3">
        <v>0</v>
      </c>
    </row>
    <row r="4" spans="1:35">
      <c r="A4">
        <v>260512</v>
      </c>
      <c r="B4">
        <v>3</v>
      </c>
      <c r="C4" t="s">
        <v>83</v>
      </c>
      <c r="D4" t="s">
        <v>84</v>
      </c>
      <c r="E4">
        <v>40</v>
      </c>
      <c r="F4" t="s">
        <v>36</v>
      </c>
      <c r="G4">
        <f>VLOOKUP(F4,选手工资!$A:$G,7,FALSE)</f>
        <v>4.5</v>
      </c>
      <c r="H4" t="s">
        <v>191</v>
      </c>
      <c r="I4">
        <v>3</v>
      </c>
      <c r="J4">
        <v>19</v>
      </c>
      <c r="K4">
        <v>11</v>
      </c>
      <c r="L4">
        <v>12</v>
      </c>
      <c r="M4">
        <v>11</v>
      </c>
      <c r="N4" s="1">
        <v>0.55</v>
      </c>
      <c r="O4" s="1">
        <v>0.174</v>
      </c>
      <c r="P4">
        <v>12840</v>
      </c>
      <c r="Q4">
        <v>161</v>
      </c>
      <c r="R4">
        <v>1</v>
      </c>
      <c r="S4">
        <v>423</v>
      </c>
      <c r="T4">
        <v>546</v>
      </c>
      <c r="U4">
        <v>0</v>
      </c>
      <c r="V4">
        <v>0</v>
      </c>
      <c r="W4">
        <v>0</v>
      </c>
      <c r="X4">
        <v>22991</v>
      </c>
      <c r="Y4">
        <v>182</v>
      </c>
      <c r="Z4">
        <v>57920</v>
      </c>
      <c r="AA4" s="1">
        <v>0.453</v>
      </c>
      <c r="AB4">
        <v>2080</v>
      </c>
      <c r="AC4" s="3">
        <v>0.313194444444444</v>
      </c>
      <c r="AD4">
        <v>2</v>
      </c>
      <c r="AE4">
        <v>2969</v>
      </c>
      <c r="AF4">
        <v>6</v>
      </c>
      <c r="AG4">
        <v>0</v>
      </c>
      <c r="AH4">
        <v>0</v>
      </c>
      <c r="AI4">
        <v>1</v>
      </c>
    </row>
    <row r="5" spans="1:35">
      <c r="A5">
        <v>260512</v>
      </c>
      <c r="B5">
        <v>3</v>
      </c>
      <c r="C5" t="s">
        <v>83</v>
      </c>
      <c r="D5" t="s">
        <v>84</v>
      </c>
      <c r="E5">
        <v>40</v>
      </c>
      <c r="F5" t="s">
        <v>28</v>
      </c>
      <c r="G5">
        <f>VLOOKUP(F5,选手工资!$A:$G,7,FALSE)</f>
        <v>6</v>
      </c>
      <c r="H5" t="s">
        <v>106</v>
      </c>
      <c r="I5">
        <v>4</v>
      </c>
      <c r="J5">
        <v>14</v>
      </c>
      <c r="K5">
        <v>6</v>
      </c>
      <c r="L5">
        <v>13</v>
      </c>
      <c r="M5">
        <v>20</v>
      </c>
      <c r="N5" s="1">
        <v>0.65</v>
      </c>
      <c r="O5" s="1">
        <v>0.135</v>
      </c>
      <c r="P5">
        <v>9455</v>
      </c>
      <c r="Q5">
        <v>82</v>
      </c>
      <c r="R5">
        <v>0</v>
      </c>
      <c r="S5">
        <v>333</v>
      </c>
      <c r="T5">
        <v>332</v>
      </c>
      <c r="U5">
        <v>3</v>
      </c>
      <c r="V5">
        <v>0</v>
      </c>
      <c r="W5">
        <v>0</v>
      </c>
      <c r="X5">
        <v>17751</v>
      </c>
      <c r="Y5">
        <v>52</v>
      </c>
      <c r="Z5">
        <v>36155</v>
      </c>
      <c r="AA5" s="1">
        <v>0.395</v>
      </c>
      <c r="AB5">
        <v>1314</v>
      </c>
      <c r="AC5" s="3">
        <v>0.329166666666667</v>
      </c>
      <c r="AD5">
        <v>5</v>
      </c>
      <c r="AE5">
        <v>2789</v>
      </c>
      <c r="AF5">
        <v>6</v>
      </c>
      <c r="AG5">
        <v>350</v>
      </c>
      <c r="AH5">
        <v>1</v>
      </c>
      <c r="AI5">
        <v>6</v>
      </c>
    </row>
    <row r="6" spans="1:35">
      <c r="A6">
        <v>260512</v>
      </c>
      <c r="B6">
        <v>3</v>
      </c>
      <c r="C6" t="s">
        <v>83</v>
      </c>
      <c r="D6" t="s">
        <v>84</v>
      </c>
      <c r="E6">
        <v>40</v>
      </c>
      <c r="F6" t="s">
        <v>41</v>
      </c>
      <c r="G6">
        <f>VLOOKUP(F6,选手工资!$A:$G,7,FALSE)</f>
        <v>2</v>
      </c>
      <c r="H6" t="s">
        <v>112</v>
      </c>
      <c r="I6">
        <v>5</v>
      </c>
      <c r="J6">
        <v>14</v>
      </c>
      <c r="K6">
        <v>5</v>
      </c>
      <c r="L6">
        <v>14</v>
      </c>
      <c r="M6">
        <v>12</v>
      </c>
      <c r="N6" s="1">
        <v>0.425</v>
      </c>
      <c r="O6" s="1">
        <v>0.103</v>
      </c>
      <c r="P6">
        <v>9014</v>
      </c>
      <c r="Q6">
        <v>26</v>
      </c>
      <c r="R6">
        <v>1</v>
      </c>
      <c r="S6">
        <v>255</v>
      </c>
      <c r="T6">
        <v>311</v>
      </c>
      <c r="U6">
        <v>3</v>
      </c>
      <c r="V6">
        <v>0</v>
      </c>
      <c r="W6">
        <v>0</v>
      </c>
      <c r="X6">
        <v>13605</v>
      </c>
      <c r="Y6">
        <v>0</v>
      </c>
      <c r="Z6">
        <v>28515</v>
      </c>
      <c r="AA6" s="1">
        <v>0.316</v>
      </c>
      <c r="AB6">
        <v>966</v>
      </c>
      <c r="AC6" s="3">
        <v>0.345138888888889</v>
      </c>
      <c r="AD6">
        <v>1</v>
      </c>
      <c r="AE6">
        <v>1649</v>
      </c>
      <c r="AF6">
        <v>5</v>
      </c>
      <c r="AG6">
        <v>930</v>
      </c>
      <c r="AH6">
        <v>3</v>
      </c>
      <c r="AI6">
        <v>7</v>
      </c>
    </row>
    <row r="7" spans="1:35">
      <c r="A7">
        <v>260512</v>
      </c>
      <c r="B7">
        <v>3</v>
      </c>
      <c r="C7" t="s">
        <v>76</v>
      </c>
      <c r="D7" t="s">
        <v>77</v>
      </c>
      <c r="E7">
        <v>59</v>
      </c>
      <c r="F7" t="s">
        <v>30</v>
      </c>
      <c r="G7">
        <f>VLOOKUP(F7,选手工资!$A:$G,7,FALSE)</f>
        <v>3.5</v>
      </c>
      <c r="H7" t="s">
        <v>192</v>
      </c>
      <c r="I7">
        <v>2</v>
      </c>
      <c r="J7">
        <v>26</v>
      </c>
      <c r="K7">
        <v>20</v>
      </c>
      <c r="L7">
        <v>5</v>
      </c>
      <c r="M7">
        <v>26</v>
      </c>
      <c r="N7" s="1">
        <v>0.78</v>
      </c>
      <c r="O7" s="1">
        <v>0.324</v>
      </c>
      <c r="P7">
        <v>22820</v>
      </c>
      <c r="Q7">
        <v>253</v>
      </c>
      <c r="R7">
        <v>4</v>
      </c>
      <c r="S7">
        <v>725</v>
      </c>
      <c r="T7">
        <v>1074</v>
      </c>
      <c r="U7">
        <v>6</v>
      </c>
      <c r="V7">
        <v>0</v>
      </c>
      <c r="W7">
        <v>0</v>
      </c>
      <c r="X7">
        <v>44752</v>
      </c>
      <c r="Y7">
        <v>7138</v>
      </c>
      <c r="Z7">
        <v>59403</v>
      </c>
      <c r="AA7" s="1">
        <v>0.476</v>
      </c>
      <c r="AB7">
        <v>1096</v>
      </c>
      <c r="AC7" s="3">
        <v>0.109722222222222</v>
      </c>
      <c r="AD7">
        <v>10</v>
      </c>
      <c r="AE7">
        <v>4563</v>
      </c>
      <c r="AF7">
        <v>8</v>
      </c>
      <c r="AG7">
        <v>240</v>
      </c>
      <c r="AH7">
        <v>1</v>
      </c>
      <c r="AI7">
        <v>1</v>
      </c>
    </row>
    <row r="8" spans="1:35">
      <c r="A8">
        <v>260512</v>
      </c>
      <c r="B8">
        <v>3</v>
      </c>
      <c r="C8" t="s">
        <v>76</v>
      </c>
      <c r="D8" t="s">
        <v>77</v>
      </c>
      <c r="E8">
        <v>59</v>
      </c>
      <c r="F8" t="s">
        <v>13</v>
      </c>
      <c r="G8">
        <f>VLOOKUP(F8,选手工资!$A:$G,7,FALSE)</f>
        <v>10.5</v>
      </c>
      <c r="H8" t="s">
        <v>143</v>
      </c>
      <c r="I8">
        <v>3</v>
      </c>
      <c r="J8">
        <v>26</v>
      </c>
      <c r="K8">
        <v>17</v>
      </c>
      <c r="L8">
        <v>6</v>
      </c>
      <c r="M8">
        <v>30</v>
      </c>
      <c r="N8" s="1">
        <v>0.797</v>
      </c>
      <c r="O8" s="1">
        <v>0.295</v>
      </c>
      <c r="P8">
        <v>21999</v>
      </c>
      <c r="Q8">
        <v>254</v>
      </c>
      <c r="R8">
        <v>13</v>
      </c>
      <c r="S8">
        <v>702</v>
      </c>
      <c r="T8">
        <v>1047</v>
      </c>
      <c r="U8">
        <v>1</v>
      </c>
      <c r="V8">
        <v>0</v>
      </c>
      <c r="W8">
        <v>1</v>
      </c>
      <c r="X8">
        <v>40709</v>
      </c>
      <c r="Y8">
        <v>2183</v>
      </c>
      <c r="Z8">
        <v>59272</v>
      </c>
      <c r="AA8" s="1">
        <v>0.618</v>
      </c>
      <c r="AB8">
        <v>1263</v>
      </c>
      <c r="AC8" s="3">
        <v>0.11875</v>
      </c>
      <c r="AD8">
        <v>7</v>
      </c>
      <c r="AE8">
        <v>4794</v>
      </c>
      <c r="AF8">
        <v>8</v>
      </c>
      <c r="AG8">
        <v>80</v>
      </c>
      <c r="AH8">
        <v>1</v>
      </c>
      <c r="AI8">
        <v>1</v>
      </c>
    </row>
    <row r="9" spans="1:35">
      <c r="A9">
        <v>260512</v>
      </c>
      <c r="B9">
        <v>3</v>
      </c>
      <c r="C9" t="s">
        <v>76</v>
      </c>
      <c r="D9" t="s">
        <v>77</v>
      </c>
      <c r="E9">
        <v>59</v>
      </c>
      <c r="F9" t="s">
        <v>16</v>
      </c>
      <c r="G9">
        <f>VLOOKUP(F9,选手工资!$A:$G,7,FALSE)</f>
        <v>7</v>
      </c>
      <c r="H9" t="s">
        <v>105</v>
      </c>
      <c r="I9">
        <v>1</v>
      </c>
      <c r="J9">
        <v>25</v>
      </c>
      <c r="K9">
        <v>8</v>
      </c>
      <c r="L9">
        <v>1</v>
      </c>
      <c r="M9">
        <v>24</v>
      </c>
      <c r="N9" s="1">
        <v>0.542</v>
      </c>
      <c r="O9" s="1">
        <v>0.175</v>
      </c>
      <c r="P9">
        <v>25947</v>
      </c>
      <c r="Q9">
        <v>367</v>
      </c>
      <c r="R9">
        <v>8</v>
      </c>
      <c r="S9">
        <v>717</v>
      </c>
      <c r="T9">
        <v>979</v>
      </c>
      <c r="U9">
        <v>1</v>
      </c>
      <c r="V9">
        <v>0</v>
      </c>
      <c r="W9">
        <v>0</v>
      </c>
      <c r="X9">
        <v>24238</v>
      </c>
      <c r="Y9">
        <v>13642</v>
      </c>
      <c r="Z9">
        <v>47244</v>
      </c>
      <c r="AA9" s="1">
        <v>0.38</v>
      </c>
      <c r="AB9">
        <v>176</v>
      </c>
      <c r="AC9" s="3">
        <v>0.0326388888888889</v>
      </c>
      <c r="AD9">
        <v>8</v>
      </c>
      <c r="AE9">
        <v>4582</v>
      </c>
      <c r="AF9">
        <v>7</v>
      </c>
      <c r="AG9">
        <v>0</v>
      </c>
      <c r="AH9">
        <v>2</v>
      </c>
      <c r="AI9">
        <v>0</v>
      </c>
    </row>
    <row r="10" spans="1:35">
      <c r="A10">
        <v>260512</v>
      </c>
      <c r="B10">
        <v>3</v>
      </c>
      <c r="C10" t="s">
        <v>76</v>
      </c>
      <c r="D10" t="s">
        <v>77</v>
      </c>
      <c r="E10">
        <v>59</v>
      </c>
      <c r="F10" t="s">
        <v>34</v>
      </c>
      <c r="G10">
        <f>VLOOKUP(F10,选手工资!$A:$G,7,FALSE)</f>
        <v>2.5</v>
      </c>
      <c r="H10" t="s">
        <v>167</v>
      </c>
      <c r="I10">
        <v>5</v>
      </c>
      <c r="J10">
        <v>16</v>
      </c>
      <c r="K10">
        <v>6</v>
      </c>
      <c r="L10">
        <v>11</v>
      </c>
      <c r="M10">
        <v>24</v>
      </c>
      <c r="N10" s="1">
        <v>0.508</v>
      </c>
      <c r="O10" s="1">
        <v>0.092</v>
      </c>
      <c r="P10">
        <v>10660</v>
      </c>
      <c r="Q10">
        <v>33</v>
      </c>
      <c r="R10">
        <v>2</v>
      </c>
      <c r="S10">
        <v>324</v>
      </c>
      <c r="T10">
        <v>407</v>
      </c>
      <c r="U10">
        <v>0</v>
      </c>
      <c r="V10">
        <v>10118</v>
      </c>
      <c r="W10">
        <v>0</v>
      </c>
      <c r="X10">
        <v>12767</v>
      </c>
      <c r="Y10">
        <v>1809</v>
      </c>
      <c r="Z10">
        <v>41542</v>
      </c>
      <c r="AA10" s="1">
        <v>0.455</v>
      </c>
      <c r="AB10">
        <v>1028</v>
      </c>
      <c r="AC10" s="3">
        <v>0.250694444444444</v>
      </c>
      <c r="AD10">
        <v>3</v>
      </c>
      <c r="AE10">
        <v>2393</v>
      </c>
      <c r="AF10">
        <v>6</v>
      </c>
      <c r="AG10">
        <v>460</v>
      </c>
      <c r="AH10">
        <v>2</v>
      </c>
      <c r="AI10">
        <v>5</v>
      </c>
    </row>
    <row r="11" spans="1:35">
      <c r="A11">
        <v>260512</v>
      </c>
      <c r="B11">
        <v>3</v>
      </c>
      <c r="C11" t="s">
        <v>76</v>
      </c>
      <c r="D11" t="s">
        <v>77</v>
      </c>
      <c r="E11">
        <v>59</v>
      </c>
      <c r="F11" t="s">
        <v>24</v>
      </c>
      <c r="G11">
        <f>VLOOKUP(F11,选手工资!$A:$G,7,FALSE)</f>
        <v>5</v>
      </c>
      <c r="H11" t="s">
        <v>88</v>
      </c>
      <c r="I11">
        <v>4</v>
      </c>
      <c r="J11">
        <v>18</v>
      </c>
      <c r="K11">
        <v>7</v>
      </c>
      <c r="L11">
        <v>17</v>
      </c>
      <c r="M11">
        <v>28</v>
      </c>
      <c r="N11" s="1">
        <v>0.593</v>
      </c>
      <c r="O11" s="1">
        <v>0.113</v>
      </c>
      <c r="P11">
        <v>11865</v>
      </c>
      <c r="Q11">
        <v>53</v>
      </c>
      <c r="R11">
        <v>1</v>
      </c>
      <c r="S11">
        <v>407</v>
      </c>
      <c r="T11">
        <v>491</v>
      </c>
      <c r="U11">
        <v>1</v>
      </c>
      <c r="V11">
        <v>4300</v>
      </c>
      <c r="W11">
        <v>0</v>
      </c>
      <c r="X11">
        <v>15670</v>
      </c>
      <c r="Y11">
        <v>1785</v>
      </c>
      <c r="Z11">
        <v>38044</v>
      </c>
      <c r="AA11" s="1">
        <v>0.323</v>
      </c>
      <c r="AB11">
        <v>1280</v>
      </c>
      <c r="AC11" s="3">
        <v>0.354861111111111</v>
      </c>
      <c r="AD11">
        <v>4</v>
      </c>
      <c r="AE11">
        <v>1931</v>
      </c>
      <c r="AF11">
        <v>5</v>
      </c>
      <c r="AG11">
        <v>1190</v>
      </c>
      <c r="AH11">
        <v>1</v>
      </c>
      <c r="AI11">
        <v>1</v>
      </c>
    </row>
    <row r="14" spans="1:35">
      <c r="A14" t="s">
        <v>90</v>
      </c>
      <c r="B14" s="4">
        <v>8808200827</v>
      </c>
      <c r="C14" s="4"/>
    </row>
    <row r="15" spans="1:35">
      <c r="A15" t="s">
        <v>91</v>
      </c>
      <c r="B15" s="7" t="s">
        <v>193</v>
      </c>
    </row>
  </sheetData>
  <sortState ref="A2:AI11">
    <sortCondition ref="C3"/>
  </sortState>
  <mergeCells count="1">
    <mergeCell ref="B14:C14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J16" sqref="J16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260512</v>
      </c>
      <c r="B2">
        <v>4</v>
      </c>
      <c r="C2" t="s">
        <v>83</v>
      </c>
      <c r="D2" t="s">
        <v>84</v>
      </c>
      <c r="E2">
        <v>12</v>
      </c>
      <c r="F2" t="s">
        <v>33</v>
      </c>
      <c r="G2">
        <f>VLOOKUP(F2,选手工资!$A:$G,7,FALSE)</f>
        <v>4.5</v>
      </c>
      <c r="H2" t="s">
        <v>169</v>
      </c>
      <c r="I2">
        <v>5</v>
      </c>
      <c r="J2">
        <v>8</v>
      </c>
      <c r="K2">
        <v>1</v>
      </c>
      <c r="L2">
        <v>6</v>
      </c>
      <c r="M2">
        <v>6</v>
      </c>
      <c r="N2" s="1">
        <v>0.583</v>
      </c>
      <c r="O2" s="1">
        <v>0.189</v>
      </c>
      <c r="P2">
        <v>3058</v>
      </c>
      <c r="Q2">
        <v>20</v>
      </c>
      <c r="R2">
        <v>8</v>
      </c>
      <c r="S2">
        <v>173</v>
      </c>
      <c r="T2">
        <v>222</v>
      </c>
      <c r="U2">
        <v>0</v>
      </c>
      <c r="V2">
        <v>0</v>
      </c>
      <c r="W2">
        <v>0</v>
      </c>
      <c r="X2">
        <v>8279</v>
      </c>
      <c r="Y2">
        <v>0</v>
      </c>
      <c r="Z2">
        <v>11327</v>
      </c>
      <c r="AA2" s="1">
        <v>0.257</v>
      </c>
      <c r="AB2">
        <v>101</v>
      </c>
      <c r="AC2" s="3">
        <v>0.107638888888889</v>
      </c>
      <c r="AD2">
        <v>5</v>
      </c>
      <c r="AE2">
        <v>1618</v>
      </c>
      <c r="AF2">
        <v>5</v>
      </c>
      <c r="AG2">
        <v>600</v>
      </c>
      <c r="AH2">
        <v>2</v>
      </c>
      <c r="AI2">
        <v>0</v>
      </c>
    </row>
    <row r="3" spans="1:35">
      <c r="A3">
        <v>260512</v>
      </c>
      <c r="B3">
        <v>4</v>
      </c>
      <c r="C3" t="s">
        <v>83</v>
      </c>
      <c r="D3" t="s">
        <v>84</v>
      </c>
      <c r="E3">
        <v>12</v>
      </c>
      <c r="F3" t="s">
        <v>36</v>
      </c>
      <c r="G3">
        <f>VLOOKUP(F3,选手工资!$A:$G,7,FALSE)</f>
        <v>4.5</v>
      </c>
      <c r="H3" t="s">
        <v>80</v>
      </c>
      <c r="I3">
        <v>3</v>
      </c>
      <c r="J3">
        <v>10</v>
      </c>
      <c r="K3">
        <v>1</v>
      </c>
      <c r="L3">
        <v>5</v>
      </c>
      <c r="M3">
        <v>4</v>
      </c>
      <c r="N3" s="1">
        <v>0.417</v>
      </c>
      <c r="O3" s="1">
        <v>0.122</v>
      </c>
      <c r="P3">
        <v>5339</v>
      </c>
      <c r="Q3">
        <v>117</v>
      </c>
      <c r="R3">
        <v>5</v>
      </c>
      <c r="S3">
        <v>314</v>
      </c>
      <c r="T3">
        <v>350</v>
      </c>
      <c r="U3">
        <v>1</v>
      </c>
      <c r="V3">
        <v>819</v>
      </c>
      <c r="W3">
        <v>0</v>
      </c>
      <c r="X3">
        <v>5349</v>
      </c>
      <c r="Y3">
        <v>70</v>
      </c>
      <c r="Z3">
        <v>20052</v>
      </c>
      <c r="AA3" s="1">
        <v>0.393</v>
      </c>
      <c r="AB3">
        <v>544</v>
      </c>
      <c r="AC3" s="3">
        <v>0.104861111111111</v>
      </c>
      <c r="AD3">
        <v>1</v>
      </c>
      <c r="AE3">
        <v>3195</v>
      </c>
      <c r="AF3">
        <v>6</v>
      </c>
      <c r="AG3">
        <v>0</v>
      </c>
      <c r="AH3">
        <v>0</v>
      </c>
      <c r="AI3">
        <v>0</v>
      </c>
    </row>
    <row r="4" spans="1:35">
      <c r="A4">
        <v>260512</v>
      </c>
      <c r="B4">
        <v>4</v>
      </c>
      <c r="C4" t="s">
        <v>83</v>
      </c>
      <c r="D4" t="s">
        <v>84</v>
      </c>
      <c r="E4">
        <v>12</v>
      </c>
      <c r="F4" t="s">
        <v>28</v>
      </c>
      <c r="G4">
        <f>VLOOKUP(F4,选手工资!$A:$G,7,FALSE)</f>
        <v>6</v>
      </c>
      <c r="H4" t="s">
        <v>95</v>
      </c>
      <c r="I4">
        <v>4</v>
      </c>
      <c r="J4">
        <v>9</v>
      </c>
      <c r="K4">
        <v>3</v>
      </c>
      <c r="L4">
        <v>6</v>
      </c>
      <c r="M4">
        <v>4</v>
      </c>
      <c r="N4" s="1">
        <v>0.583</v>
      </c>
      <c r="O4" s="1">
        <v>0.14</v>
      </c>
      <c r="P4">
        <v>3826</v>
      </c>
      <c r="Q4">
        <v>31</v>
      </c>
      <c r="R4">
        <v>6</v>
      </c>
      <c r="S4">
        <v>221</v>
      </c>
      <c r="T4">
        <v>280</v>
      </c>
      <c r="U4">
        <v>0</v>
      </c>
      <c r="V4">
        <v>0</v>
      </c>
      <c r="W4">
        <v>0</v>
      </c>
      <c r="X4">
        <v>6145</v>
      </c>
      <c r="Y4">
        <v>0</v>
      </c>
      <c r="Z4">
        <v>12895</v>
      </c>
      <c r="AA4" s="1">
        <v>0.369</v>
      </c>
      <c r="AB4">
        <v>270</v>
      </c>
      <c r="AC4" s="3">
        <v>0.102777777777778</v>
      </c>
      <c r="AD4">
        <v>2</v>
      </c>
      <c r="AE4">
        <v>1725</v>
      </c>
      <c r="AF4">
        <v>5</v>
      </c>
      <c r="AG4">
        <v>300</v>
      </c>
      <c r="AH4">
        <v>1</v>
      </c>
      <c r="AI4">
        <v>1</v>
      </c>
    </row>
    <row r="5" spans="1:35">
      <c r="A5">
        <v>260512</v>
      </c>
      <c r="B5">
        <v>4</v>
      </c>
      <c r="C5" t="s">
        <v>83</v>
      </c>
      <c r="D5" t="s">
        <v>84</v>
      </c>
      <c r="E5">
        <v>12</v>
      </c>
      <c r="F5" t="s">
        <v>14</v>
      </c>
      <c r="G5">
        <f>VLOOKUP(F5,选手工资!$A:$G,7,FALSE)</f>
        <v>8.5</v>
      </c>
      <c r="H5" t="s">
        <v>109</v>
      </c>
      <c r="I5">
        <v>1</v>
      </c>
      <c r="J5">
        <v>12</v>
      </c>
      <c r="K5">
        <v>1</v>
      </c>
      <c r="L5">
        <v>7</v>
      </c>
      <c r="M5">
        <v>4</v>
      </c>
      <c r="N5" s="1">
        <v>0.417</v>
      </c>
      <c r="O5" s="1">
        <v>0.195</v>
      </c>
      <c r="P5">
        <v>7635</v>
      </c>
      <c r="Q5">
        <v>158</v>
      </c>
      <c r="R5">
        <v>11</v>
      </c>
      <c r="S5">
        <v>408</v>
      </c>
      <c r="T5">
        <v>444</v>
      </c>
      <c r="U5">
        <v>2</v>
      </c>
      <c r="V5">
        <v>0</v>
      </c>
      <c r="W5">
        <v>0</v>
      </c>
      <c r="X5">
        <v>8537</v>
      </c>
      <c r="Y5">
        <v>0</v>
      </c>
      <c r="Z5">
        <v>18937</v>
      </c>
      <c r="AA5" s="1">
        <v>0.33</v>
      </c>
      <c r="AB5">
        <v>738</v>
      </c>
      <c r="AC5" s="3">
        <v>0.140972222222222</v>
      </c>
      <c r="AD5">
        <v>6</v>
      </c>
      <c r="AE5">
        <v>3725</v>
      </c>
      <c r="AF5">
        <v>7</v>
      </c>
      <c r="AG5">
        <v>0</v>
      </c>
      <c r="AH5">
        <v>1</v>
      </c>
      <c r="AI5">
        <v>0</v>
      </c>
    </row>
    <row r="6" spans="1:35">
      <c r="A6">
        <v>260512</v>
      </c>
      <c r="B6">
        <v>4</v>
      </c>
      <c r="C6" t="s">
        <v>83</v>
      </c>
      <c r="D6" t="s">
        <v>84</v>
      </c>
      <c r="E6">
        <v>12</v>
      </c>
      <c r="F6" t="s">
        <v>30</v>
      </c>
      <c r="G6">
        <f>VLOOKUP(F6,选手工资!$A:$G,7,FALSE)</f>
        <v>3.5</v>
      </c>
      <c r="H6" t="s">
        <v>103</v>
      </c>
      <c r="I6">
        <v>2</v>
      </c>
      <c r="J6">
        <v>12</v>
      </c>
      <c r="K6">
        <v>6</v>
      </c>
      <c r="L6">
        <v>9</v>
      </c>
      <c r="M6">
        <v>2</v>
      </c>
      <c r="N6" s="1">
        <v>0.667</v>
      </c>
      <c r="O6" s="1">
        <v>0.354</v>
      </c>
      <c r="P6">
        <v>6292</v>
      </c>
      <c r="Q6">
        <v>93</v>
      </c>
      <c r="R6">
        <v>5</v>
      </c>
      <c r="S6">
        <v>404</v>
      </c>
      <c r="T6">
        <v>442</v>
      </c>
      <c r="U6">
        <v>2</v>
      </c>
      <c r="V6">
        <v>0</v>
      </c>
      <c r="W6">
        <v>0</v>
      </c>
      <c r="X6">
        <v>15491</v>
      </c>
      <c r="Y6">
        <v>0</v>
      </c>
      <c r="Z6">
        <v>30548</v>
      </c>
      <c r="AA6" s="1">
        <v>0.507</v>
      </c>
      <c r="AB6">
        <v>931</v>
      </c>
      <c r="AC6" s="3">
        <v>0.170138888888889</v>
      </c>
      <c r="AD6">
        <v>9</v>
      </c>
      <c r="AE6">
        <v>4434</v>
      </c>
      <c r="AF6">
        <v>8</v>
      </c>
      <c r="AG6">
        <v>50</v>
      </c>
      <c r="AH6">
        <v>0</v>
      </c>
      <c r="AI6">
        <v>0</v>
      </c>
    </row>
    <row r="7" spans="1:35">
      <c r="A7">
        <v>260512</v>
      </c>
      <c r="B7">
        <v>4</v>
      </c>
      <c r="C7" t="s">
        <v>76</v>
      </c>
      <c r="D7" t="s">
        <v>77</v>
      </c>
      <c r="E7">
        <v>33</v>
      </c>
      <c r="F7" t="s">
        <v>41</v>
      </c>
      <c r="G7">
        <f>VLOOKUP(F7,选手工资!$A:$G,7,FALSE)</f>
        <v>2</v>
      </c>
      <c r="H7" t="s">
        <v>184</v>
      </c>
      <c r="I7">
        <v>5</v>
      </c>
      <c r="J7">
        <v>11</v>
      </c>
      <c r="K7">
        <v>5</v>
      </c>
      <c r="L7">
        <v>2</v>
      </c>
      <c r="M7">
        <v>17</v>
      </c>
      <c r="N7" s="1">
        <v>0.667</v>
      </c>
      <c r="O7" s="1">
        <v>0.224</v>
      </c>
      <c r="P7">
        <v>5824</v>
      </c>
      <c r="Q7">
        <v>37</v>
      </c>
      <c r="R7">
        <v>4</v>
      </c>
      <c r="S7">
        <v>317</v>
      </c>
      <c r="T7">
        <v>406</v>
      </c>
      <c r="U7">
        <v>1</v>
      </c>
      <c r="V7">
        <v>3453</v>
      </c>
      <c r="W7">
        <v>0</v>
      </c>
      <c r="X7">
        <v>12653</v>
      </c>
      <c r="Y7">
        <v>107</v>
      </c>
      <c r="Z7">
        <v>7173</v>
      </c>
      <c r="AA7" s="1">
        <v>0.244</v>
      </c>
      <c r="AB7">
        <v>78</v>
      </c>
      <c r="AC7" s="3">
        <v>0.0298611111111111</v>
      </c>
      <c r="AD7">
        <v>3</v>
      </c>
      <c r="AE7">
        <v>1773</v>
      </c>
      <c r="AF7">
        <v>6</v>
      </c>
      <c r="AG7">
        <v>200</v>
      </c>
      <c r="AH7">
        <v>2</v>
      </c>
      <c r="AI7">
        <v>1</v>
      </c>
    </row>
    <row r="8" spans="1:35">
      <c r="A8">
        <v>260512</v>
      </c>
      <c r="B8">
        <v>4</v>
      </c>
      <c r="C8" t="s">
        <v>76</v>
      </c>
      <c r="D8" t="s">
        <v>77</v>
      </c>
      <c r="E8">
        <v>33</v>
      </c>
      <c r="F8" t="s">
        <v>20</v>
      </c>
      <c r="G8">
        <f>VLOOKUP(F8,选手工资!$A:$G,7,FALSE)</f>
        <v>7.5</v>
      </c>
      <c r="H8" t="s">
        <v>126</v>
      </c>
      <c r="I8">
        <v>4</v>
      </c>
      <c r="J8">
        <v>12</v>
      </c>
      <c r="K8">
        <v>5</v>
      </c>
      <c r="L8">
        <v>5</v>
      </c>
      <c r="M8">
        <v>19</v>
      </c>
      <c r="N8" s="1">
        <v>0.727</v>
      </c>
      <c r="O8" s="1">
        <v>0.128</v>
      </c>
      <c r="P8">
        <v>6369</v>
      </c>
      <c r="Q8">
        <v>33</v>
      </c>
      <c r="R8">
        <v>0</v>
      </c>
      <c r="S8">
        <v>338</v>
      </c>
      <c r="T8">
        <v>446</v>
      </c>
      <c r="U8">
        <v>1</v>
      </c>
      <c r="V8">
        <v>0</v>
      </c>
      <c r="W8">
        <v>0</v>
      </c>
      <c r="X8">
        <v>7203</v>
      </c>
      <c r="Y8">
        <v>0</v>
      </c>
      <c r="Z8">
        <v>17916</v>
      </c>
      <c r="AA8" s="1">
        <v>0.287</v>
      </c>
      <c r="AB8">
        <v>332</v>
      </c>
      <c r="AC8" s="3">
        <v>0.0805555555555556</v>
      </c>
      <c r="AD8">
        <v>4</v>
      </c>
      <c r="AE8">
        <v>2911</v>
      </c>
      <c r="AF8">
        <v>5</v>
      </c>
      <c r="AG8">
        <v>350</v>
      </c>
      <c r="AH8">
        <v>0</v>
      </c>
      <c r="AI8">
        <v>3</v>
      </c>
    </row>
    <row r="9" spans="1:35">
      <c r="A9">
        <v>260512</v>
      </c>
      <c r="B9">
        <v>4</v>
      </c>
      <c r="C9" t="s">
        <v>76</v>
      </c>
      <c r="D9" t="s">
        <v>77</v>
      </c>
      <c r="E9">
        <v>33</v>
      </c>
      <c r="F9" t="s">
        <v>13</v>
      </c>
      <c r="G9">
        <f>VLOOKUP(F9,选手工资!$A:$G,7,FALSE)</f>
        <v>10.5</v>
      </c>
      <c r="H9" t="s">
        <v>78</v>
      </c>
      <c r="I9">
        <v>2</v>
      </c>
      <c r="J9">
        <v>18</v>
      </c>
      <c r="K9">
        <v>18</v>
      </c>
      <c r="L9">
        <v>0</v>
      </c>
      <c r="M9">
        <v>10</v>
      </c>
      <c r="N9" s="1">
        <v>0.848</v>
      </c>
      <c r="O9" s="1">
        <v>0.403</v>
      </c>
      <c r="P9">
        <v>13557</v>
      </c>
      <c r="Q9">
        <v>138</v>
      </c>
      <c r="R9">
        <v>9</v>
      </c>
      <c r="S9">
        <v>700</v>
      </c>
      <c r="T9">
        <v>939</v>
      </c>
      <c r="U9">
        <v>4</v>
      </c>
      <c r="V9">
        <v>0</v>
      </c>
      <c r="W9">
        <v>0</v>
      </c>
      <c r="X9">
        <v>22781</v>
      </c>
      <c r="Y9">
        <v>638</v>
      </c>
      <c r="Z9">
        <v>12163</v>
      </c>
      <c r="AA9" s="1">
        <v>0.325</v>
      </c>
      <c r="AB9">
        <v>0</v>
      </c>
      <c r="AC9" s="3">
        <v>0</v>
      </c>
      <c r="AD9">
        <v>7</v>
      </c>
      <c r="AE9">
        <v>5301</v>
      </c>
      <c r="AF9">
        <v>10</v>
      </c>
      <c r="AG9">
        <v>50</v>
      </c>
      <c r="AH9">
        <v>0</v>
      </c>
      <c r="AI9">
        <v>1</v>
      </c>
    </row>
    <row r="10" spans="1:35">
      <c r="A10">
        <v>260512</v>
      </c>
      <c r="B10">
        <v>4</v>
      </c>
      <c r="C10" t="s">
        <v>76</v>
      </c>
      <c r="D10" t="s">
        <v>77</v>
      </c>
      <c r="E10">
        <v>33</v>
      </c>
      <c r="F10" t="s">
        <v>25</v>
      </c>
      <c r="G10">
        <f>VLOOKUP(F10,选手工资!$A:$G,7,FALSE)</f>
        <v>5.5</v>
      </c>
      <c r="H10" t="s">
        <v>143</v>
      </c>
      <c r="I10">
        <v>3</v>
      </c>
      <c r="J10">
        <v>13</v>
      </c>
      <c r="K10">
        <v>2</v>
      </c>
      <c r="L10">
        <v>4</v>
      </c>
      <c r="M10">
        <v>14</v>
      </c>
      <c r="N10" s="1">
        <v>0.485</v>
      </c>
      <c r="O10" s="1">
        <v>0.102</v>
      </c>
      <c r="P10">
        <v>7399</v>
      </c>
      <c r="Q10">
        <v>106</v>
      </c>
      <c r="R10">
        <v>7</v>
      </c>
      <c r="S10">
        <v>403</v>
      </c>
      <c r="T10">
        <v>522</v>
      </c>
      <c r="U10">
        <v>0</v>
      </c>
      <c r="V10">
        <v>0</v>
      </c>
      <c r="W10">
        <v>0</v>
      </c>
      <c r="X10">
        <v>5749</v>
      </c>
      <c r="Y10">
        <v>65</v>
      </c>
      <c r="Z10">
        <v>17674</v>
      </c>
      <c r="AA10" s="1">
        <v>0.503</v>
      </c>
      <c r="AB10">
        <v>236</v>
      </c>
      <c r="AC10" s="3">
        <v>0.0743055555555556</v>
      </c>
      <c r="AD10">
        <v>10</v>
      </c>
      <c r="AE10">
        <v>2995</v>
      </c>
      <c r="AF10">
        <v>8</v>
      </c>
      <c r="AG10">
        <v>50</v>
      </c>
      <c r="AH10">
        <v>1</v>
      </c>
      <c r="AI10">
        <v>1</v>
      </c>
    </row>
    <row r="11" spans="1:35">
      <c r="A11">
        <v>260512</v>
      </c>
      <c r="B11">
        <v>4</v>
      </c>
      <c r="C11" t="s">
        <v>76</v>
      </c>
      <c r="D11" t="s">
        <v>77</v>
      </c>
      <c r="E11">
        <v>33</v>
      </c>
      <c r="F11" t="s">
        <v>34</v>
      </c>
      <c r="G11">
        <f>VLOOKUP(F11,选手工资!$A:$G,7,FALSE)</f>
        <v>2.5</v>
      </c>
      <c r="H11" t="s">
        <v>105</v>
      </c>
      <c r="I11">
        <v>1</v>
      </c>
      <c r="J11">
        <v>14</v>
      </c>
      <c r="K11">
        <v>3</v>
      </c>
      <c r="L11">
        <v>1</v>
      </c>
      <c r="M11">
        <v>12</v>
      </c>
      <c r="N11" s="1">
        <v>0.455</v>
      </c>
      <c r="O11" s="1">
        <v>0.143</v>
      </c>
      <c r="P11">
        <v>10369</v>
      </c>
      <c r="Q11">
        <v>188</v>
      </c>
      <c r="R11">
        <v>8</v>
      </c>
      <c r="S11">
        <v>507</v>
      </c>
      <c r="T11">
        <v>598</v>
      </c>
      <c r="U11">
        <v>1</v>
      </c>
      <c r="V11">
        <v>0</v>
      </c>
      <c r="W11">
        <v>0</v>
      </c>
      <c r="X11">
        <v>8092</v>
      </c>
      <c r="Y11">
        <v>1719</v>
      </c>
      <c r="Z11">
        <v>12183</v>
      </c>
      <c r="AA11" s="1">
        <v>0.297</v>
      </c>
      <c r="AB11">
        <v>36</v>
      </c>
      <c r="AC11" s="3">
        <v>0.0159722222222222</v>
      </c>
      <c r="AD11">
        <v>8</v>
      </c>
      <c r="AE11">
        <v>4032</v>
      </c>
      <c r="AF11">
        <v>6</v>
      </c>
      <c r="AG11">
        <v>0</v>
      </c>
      <c r="AH11">
        <v>1</v>
      </c>
      <c r="AI11">
        <v>0</v>
      </c>
    </row>
    <row r="14" spans="1:35">
      <c r="A14" t="s">
        <v>90</v>
      </c>
      <c r="B14" s="4">
        <v>8808274916</v>
      </c>
      <c r="C14" s="4"/>
    </row>
    <row r="15" spans="1:35">
      <c r="A15" t="s">
        <v>91</v>
      </c>
      <c r="B15" s="7" t="s">
        <v>194</v>
      </c>
    </row>
  </sheetData>
  <mergeCells count="1">
    <mergeCell ref="B14:C14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J16" sqref="J16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260512</v>
      </c>
      <c r="B2">
        <v>5</v>
      </c>
      <c r="C2" t="s">
        <v>83</v>
      </c>
      <c r="D2" t="s">
        <v>77</v>
      </c>
      <c r="E2">
        <v>41</v>
      </c>
      <c r="F2" t="s">
        <v>30</v>
      </c>
      <c r="G2">
        <f>VLOOKUP(F2,选手工资!$A:$G,7,FALSE)</f>
        <v>3.5</v>
      </c>
      <c r="H2" t="s">
        <v>195</v>
      </c>
      <c r="I2">
        <v>1</v>
      </c>
      <c r="J2">
        <v>20</v>
      </c>
      <c r="K2">
        <v>7</v>
      </c>
      <c r="L2">
        <v>5</v>
      </c>
      <c r="M2">
        <v>13</v>
      </c>
      <c r="N2" s="1">
        <v>0.488</v>
      </c>
      <c r="O2" s="1">
        <v>0.161</v>
      </c>
      <c r="P2">
        <v>20502</v>
      </c>
      <c r="Q2">
        <v>344</v>
      </c>
      <c r="R2">
        <v>9</v>
      </c>
      <c r="S2">
        <v>670</v>
      </c>
      <c r="T2">
        <v>678</v>
      </c>
      <c r="U2">
        <v>1</v>
      </c>
      <c r="V2">
        <v>0</v>
      </c>
      <c r="W2">
        <v>0</v>
      </c>
      <c r="X2">
        <v>18755</v>
      </c>
      <c r="Y2">
        <v>17321</v>
      </c>
      <c r="Z2">
        <v>39739</v>
      </c>
      <c r="AA2" s="1">
        <v>0.454</v>
      </c>
      <c r="AB2">
        <v>1601</v>
      </c>
      <c r="AC2" s="3">
        <v>0.179166666666667</v>
      </c>
      <c r="AD2">
        <v>5</v>
      </c>
      <c r="AE2">
        <v>6069</v>
      </c>
      <c r="AF2">
        <v>8</v>
      </c>
      <c r="AG2">
        <v>0</v>
      </c>
      <c r="AH2">
        <v>0</v>
      </c>
      <c r="AI2">
        <v>2</v>
      </c>
    </row>
    <row r="3" spans="1:35">
      <c r="A3">
        <v>260512</v>
      </c>
      <c r="B3">
        <v>5</v>
      </c>
      <c r="C3" t="s">
        <v>83</v>
      </c>
      <c r="D3" t="s">
        <v>77</v>
      </c>
      <c r="E3">
        <v>41</v>
      </c>
      <c r="F3" t="s">
        <v>14</v>
      </c>
      <c r="G3">
        <f>VLOOKUP(F3,选手工资!$A:$G,7,FALSE)</f>
        <v>8.5</v>
      </c>
      <c r="H3" t="s">
        <v>104</v>
      </c>
      <c r="I3">
        <v>3</v>
      </c>
      <c r="J3">
        <v>22</v>
      </c>
      <c r="K3">
        <v>13</v>
      </c>
      <c r="L3">
        <v>3</v>
      </c>
      <c r="M3">
        <v>17</v>
      </c>
      <c r="N3" s="1">
        <v>0.732</v>
      </c>
      <c r="O3" s="1">
        <v>0.389</v>
      </c>
      <c r="P3">
        <v>22216</v>
      </c>
      <c r="Q3">
        <v>280</v>
      </c>
      <c r="R3">
        <v>11</v>
      </c>
      <c r="S3">
        <v>659</v>
      </c>
      <c r="T3">
        <v>824</v>
      </c>
      <c r="U3">
        <v>4</v>
      </c>
      <c r="V3">
        <v>0</v>
      </c>
      <c r="W3">
        <v>1</v>
      </c>
      <c r="X3">
        <v>45405</v>
      </c>
      <c r="Y3">
        <v>7457</v>
      </c>
      <c r="Z3">
        <v>98163</v>
      </c>
      <c r="AA3" s="1">
        <v>0.609</v>
      </c>
      <c r="AB3">
        <v>212</v>
      </c>
      <c r="AC3" s="3">
        <v>0.05</v>
      </c>
      <c r="AD3">
        <v>9</v>
      </c>
      <c r="AE3">
        <v>5043</v>
      </c>
      <c r="AF3">
        <v>8</v>
      </c>
      <c r="AG3">
        <v>0</v>
      </c>
      <c r="AH3">
        <v>0</v>
      </c>
      <c r="AI3">
        <v>1</v>
      </c>
    </row>
    <row r="4" spans="1:35">
      <c r="A4">
        <v>260512</v>
      </c>
      <c r="B4">
        <v>5</v>
      </c>
      <c r="C4" t="s">
        <v>83</v>
      </c>
      <c r="D4" t="s">
        <v>77</v>
      </c>
      <c r="E4">
        <v>41</v>
      </c>
      <c r="F4" t="s">
        <v>13</v>
      </c>
      <c r="G4">
        <f>VLOOKUP(F4,选手工资!$A:$G,7,FALSE)</f>
        <v>10.5</v>
      </c>
      <c r="H4" t="s">
        <v>95</v>
      </c>
      <c r="I4">
        <v>2</v>
      </c>
      <c r="J4">
        <v>22</v>
      </c>
      <c r="K4">
        <v>13</v>
      </c>
      <c r="L4">
        <v>5</v>
      </c>
      <c r="M4">
        <v>13</v>
      </c>
      <c r="N4" s="1">
        <v>0.634</v>
      </c>
      <c r="O4" s="1">
        <v>0.26</v>
      </c>
      <c r="P4">
        <v>20680</v>
      </c>
      <c r="Q4">
        <v>240</v>
      </c>
      <c r="R4">
        <v>12</v>
      </c>
      <c r="S4">
        <v>635</v>
      </c>
      <c r="T4">
        <v>792</v>
      </c>
      <c r="U4">
        <v>2</v>
      </c>
      <c r="V4">
        <v>106</v>
      </c>
      <c r="W4">
        <v>0</v>
      </c>
      <c r="X4">
        <v>30355</v>
      </c>
      <c r="Y4">
        <v>3257</v>
      </c>
      <c r="Z4">
        <v>35969</v>
      </c>
      <c r="AA4" s="1">
        <v>0.413</v>
      </c>
      <c r="AB4">
        <v>555</v>
      </c>
      <c r="AC4" s="3">
        <v>0.129861111111111</v>
      </c>
      <c r="AD4">
        <v>2</v>
      </c>
      <c r="AE4">
        <v>4382</v>
      </c>
      <c r="AF4">
        <v>8</v>
      </c>
      <c r="AG4">
        <v>0</v>
      </c>
      <c r="AH4">
        <v>1</v>
      </c>
      <c r="AI4">
        <v>0</v>
      </c>
    </row>
    <row r="5" spans="1:35">
      <c r="A5">
        <v>260512</v>
      </c>
      <c r="B5">
        <v>5</v>
      </c>
      <c r="C5" t="s">
        <v>83</v>
      </c>
      <c r="D5" t="s">
        <v>77</v>
      </c>
      <c r="E5">
        <v>41</v>
      </c>
      <c r="F5" t="s">
        <v>34</v>
      </c>
      <c r="G5">
        <f>VLOOKUP(F5,选手工资!$A:$G,7,FALSE)</f>
        <v>2.5</v>
      </c>
      <c r="H5" t="s">
        <v>167</v>
      </c>
      <c r="I5">
        <v>5</v>
      </c>
      <c r="J5">
        <v>18</v>
      </c>
      <c r="K5">
        <v>1</v>
      </c>
      <c r="L5">
        <v>7</v>
      </c>
      <c r="M5">
        <v>26</v>
      </c>
      <c r="N5" s="1">
        <v>0.659</v>
      </c>
      <c r="O5" s="1">
        <v>0.119</v>
      </c>
      <c r="P5">
        <v>11440</v>
      </c>
      <c r="Q5">
        <v>22</v>
      </c>
      <c r="R5">
        <v>3</v>
      </c>
      <c r="S5">
        <v>324</v>
      </c>
      <c r="T5">
        <v>531</v>
      </c>
      <c r="U5">
        <v>1</v>
      </c>
      <c r="V5">
        <v>14260</v>
      </c>
      <c r="W5">
        <v>0</v>
      </c>
      <c r="X5">
        <v>13940</v>
      </c>
      <c r="Y5">
        <v>716</v>
      </c>
      <c r="Z5">
        <v>25696</v>
      </c>
      <c r="AA5" s="1">
        <v>0.405</v>
      </c>
      <c r="AB5">
        <v>900</v>
      </c>
      <c r="AC5" s="3">
        <v>0.172222222222222</v>
      </c>
      <c r="AD5">
        <v>6</v>
      </c>
      <c r="AE5">
        <v>2524</v>
      </c>
      <c r="AF5">
        <v>6</v>
      </c>
      <c r="AG5">
        <v>400</v>
      </c>
      <c r="AH5">
        <v>2</v>
      </c>
      <c r="AI5">
        <v>5</v>
      </c>
    </row>
    <row r="6" spans="1:35">
      <c r="A6">
        <v>260512</v>
      </c>
      <c r="B6">
        <v>5</v>
      </c>
      <c r="C6" t="s">
        <v>83</v>
      </c>
      <c r="D6" t="s">
        <v>77</v>
      </c>
      <c r="E6">
        <v>41</v>
      </c>
      <c r="F6" t="s">
        <v>25</v>
      </c>
      <c r="G6">
        <f>VLOOKUP(F6,选手工资!$A:$G,7,FALSE)</f>
        <v>5.5</v>
      </c>
      <c r="H6" t="s">
        <v>196</v>
      </c>
      <c r="I6">
        <v>4</v>
      </c>
      <c r="J6">
        <v>18</v>
      </c>
      <c r="K6">
        <v>7</v>
      </c>
      <c r="L6">
        <v>6</v>
      </c>
      <c r="M6">
        <v>14</v>
      </c>
      <c r="N6" s="1">
        <v>0.512</v>
      </c>
      <c r="O6" s="1">
        <v>0.071</v>
      </c>
      <c r="P6">
        <v>10709</v>
      </c>
      <c r="Q6">
        <v>39</v>
      </c>
      <c r="R6">
        <v>0</v>
      </c>
      <c r="S6">
        <v>348</v>
      </c>
      <c r="T6">
        <v>546</v>
      </c>
      <c r="U6">
        <v>1</v>
      </c>
      <c r="V6">
        <v>0</v>
      </c>
      <c r="W6">
        <v>0</v>
      </c>
      <c r="X6">
        <v>8326</v>
      </c>
      <c r="Y6">
        <v>0</v>
      </c>
      <c r="Z6">
        <v>20044</v>
      </c>
      <c r="AA6" s="1">
        <v>0.341</v>
      </c>
      <c r="AB6">
        <v>588</v>
      </c>
      <c r="AC6" s="3">
        <v>0.135416666666667</v>
      </c>
      <c r="AD6">
        <v>1</v>
      </c>
      <c r="AE6">
        <v>2475</v>
      </c>
      <c r="AF6">
        <v>5</v>
      </c>
      <c r="AG6">
        <v>700</v>
      </c>
      <c r="AH6">
        <v>8</v>
      </c>
      <c r="AI6">
        <v>7</v>
      </c>
    </row>
    <row r="7" spans="1:35">
      <c r="A7">
        <v>260512</v>
      </c>
      <c r="B7">
        <v>5</v>
      </c>
      <c r="C7" t="s">
        <v>76</v>
      </c>
      <c r="D7" t="s">
        <v>84</v>
      </c>
      <c r="E7">
        <v>26</v>
      </c>
      <c r="F7" t="s">
        <v>19</v>
      </c>
      <c r="G7">
        <f>VLOOKUP(F7,选手工资!$A:$G,7,FALSE)</f>
        <v>9</v>
      </c>
      <c r="H7" t="s">
        <v>117</v>
      </c>
      <c r="I7">
        <v>2</v>
      </c>
      <c r="J7">
        <v>18</v>
      </c>
      <c r="K7">
        <v>7</v>
      </c>
      <c r="L7">
        <v>10</v>
      </c>
      <c r="M7">
        <v>10</v>
      </c>
      <c r="N7" s="1">
        <v>0.654</v>
      </c>
      <c r="O7" s="1">
        <v>0.385</v>
      </c>
      <c r="P7">
        <v>11812</v>
      </c>
      <c r="Q7">
        <v>172</v>
      </c>
      <c r="R7">
        <v>5</v>
      </c>
      <c r="S7">
        <v>431</v>
      </c>
      <c r="T7">
        <v>522</v>
      </c>
      <c r="U7">
        <v>2</v>
      </c>
      <c r="V7">
        <v>0</v>
      </c>
      <c r="W7">
        <v>0</v>
      </c>
      <c r="X7">
        <v>42248</v>
      </c>
      <c r="Y7">
        <v>270</v>
      </c>
      <c r="Z7">
        <v>57554</v>
      </c>
      <c r="AA7" s="1">
        <v>0.487</v>
      </c>
      <c r="AB7">
        <v>1643</v>
      </c>
      <c r="AC7" s="3">
        <v>0.197916666666667</v>
      </c>
      <c r="AD7">
        <v>10</v>
      </c>
      <c r="AE7">
        <v>3916</v>
      </c>
      <c r="AF7">
        <v>8</v>
      </c>
      <c r="AG7">
        <v>50</v>
      </c>
      <c r="AH7">
        <v>0</v>
      </c>
      <c r="AI7">
        <v>0</v>
      </c>
    </row>
    <row r="8" spans="1:35">
      <c r="A8">
        <v>260512</v>
      </c>
      <c r="B8">
        <v>5</v>
      </c>
      <c r="C8" t="s">
        <v>76</v>
      </c>
      <c r="D8" t="s">
        <v>84</v>
      </c>
      <c r="E8">
        <v>26</v>
      </c>
      <c r="F8" t="s">
        <v>17</v>
      </c>
      <c r="G8">
        <f>VLOOKUP(F8,选手工资!$A:$G,7,FALSE)</f>
        <v>7.5</v>
      </c>
      <c r="H8" t="s">
        <v>97</v>
      </c>
      <c r="I8">
        <v>3</v>
      </c>
      <c r="J8">
        <v>20</v>
      </c>
      <c r="K8">
        <v>3</v>
      </c>
      <c r="L8">
        <v>5</v>
      </c>
      <c r="M8">
        <v>14</v>
      </c>
      <c r="N8" s="1">
        <v>0.654</v>
      </c>
      <c r="O8" s="1">
        <v>0.143</v>
      </c>
      <c r="P8">
        <v>13841</v>
      </c>
      <c r="Q8">
        <v>192</v>
      </c>
      <c r="R8">
        <v>6</v>
      </c>
      <c r="S8">
        <v>450</v>
      </c>
      <c r="T8">
        <v>633</v>
      </c>
      <c r="U8">
        <v>1</v>
      </c>
      <c r="V8">
        <v>1659</v>
      </c>
      <c r="W8">
        <v>0</v>
      </c>
      <c r="X8">
        <v>15666</v>
      </c>
      <c r="Y8">
        <v>148</v>
      </c>
      <c r="Z8">
        <v>50158</v>
      </c>
      <c r="AA8" s="1">
        <v>0.515</v>
      </c>
      <c r="AB8">
        <v>735</v>
      </c>
      <c r="AC8" s="3">
        <v>0.13125</v>
      </c>
      <c r="AD8">
        <v>7</v>
      </c>
      <c r="AE8">
        <v>3639</v>
      </c>
      <c r="AF8">
        <v>7</v>
      </c>
      <c r="AG8">
        <v>150</v>
      </c>
      <c r="AH8">
        <v>0</v>
      </c>
      <c r="AI8">
        <v>3</v>
      </c>
    </row>
    <row r="9" spans="1:35">
      <c r="A9">
        <v>260512</v>
      </c>
      <c r="B9">
        <v>5</v>
      </c>
      <c r="C9" t="s">
        <v>76</v>
      </c>
      <c r="D9" t="s">
        <v>84</v>
      </c>
      <c r="E9">
        <v>26</v>
      </c>
      <c r="F9" t="s">
        <v>20</v>
      </c>
      <c r="G9">
        <f>VLOOKUP(F9,选手工资!$A:$G,7,FALSE)</f>
        <v>7.5</v>
      </c>
      <c r="H9" t="s">
        <v>93</v>
      </c>
      <c r="I9">
        <v>1</v>
      </c>
      <c r="J9">
        <v>20</v>
      </c>
      <c r="K9">
        <v>11</v>
      </c>
      <c r="L9">
        <v>8</v>
      </c>
      <c r="M9">
        <v>8</v>
      </c>
      <c r="N9" s="1">
        <v>0.731</v>
      </c>
      <c r="O9" s="1">
        <v>0.19</v>
      </c>
      <c r="P9">
        <v>17070</v>
      </c>
      <c r="Q9">
        <v>248</v>
      </c>
      <c r="R9">
        <v>6</v>
      </c>
      <c r="S9">
        <v>520</v>
      </c>
      <c r="T9">
        <v>643</v>
      </c>
      <c r="U9">
        <v>0</v>
      </c>
      <c r="V9">
        <v>5444</v>
      </c>
      <c r="W9">
        <v>0</v>
      </c>
      <c r="X9">
        <v>20866</v>
      </c>
      <c r="Y9">
        <v>575</v>
      </c>
      <c r="Z9">
        <v>53665</v>
      </c>
      <c r="AA9" s="1">
        <v>0.518</v>
      </c>
      <c r="AB9">
        <v>933</v>
      </c>
      <c r="AC9" s="3">
        <v>0.205555555555556</v>
      </c>
      <c r="AD9">
        <v>8</v>
      </c>
      <c r="AE9">
        <v>3979</v>
      </c>
      <c r="AF9">
        <v>7</v>
      </c>
      <c r="AG9">
        <v>0</v>
      </c>
      <c r="AH9">
        <v>0</v>
      </c>
      <c r="AI9">
        <v>0</v>
      </c>
    </row>
    <row r="10" spans="1:35">
      <c r="A10">
        <v>260512</v>
      </c>
      <c r="B10">
        <v>5</v>
      </c>
      <c r="C10" t="s">
        <v>76</v>
      </c>
      <c r="D10" t="s">
        <v>84</v>
      </c>
      <c r="E10">
        <v>26</v>
      </c>
      <c r="F10" t="s">
        <v>33</v>
      </c>
      <c r="G10">
        <f>VLOOKUP(F10,选手工资!$A:$G,7,FALSE)</f>
        <v>4.5</v>
      </c>
      <c r="H10" t="s">
        <v>126</v>
      </c>
      <c r="I10">
        <v>5</v>
      </c>
      <c r="J10">
        <v>15</v>
      </c>
      <c r="K10">
        <v>4</v>
      </c>
      <c r="L10">
        <v>7</v>
      </c>
      <c r="M10">
        <v>16</v>
      </c>
      <c r="N10" s="1">
        <v>0.769</v>
      </c>
      <c r="O10" s="1">
        <v>0.123</v>
      </c>
      <c r="P10">
        <v>8154</v>
      </c>
      <c r="Q10">
        <v>60</v>
      </c>
      <c r="R10">
        <v>0</v>
      </c>
      <c r="S10">
        <v>299</v>
      </c>
      <c r="T10">
        <v>378</v>
      </c>
      <c r="U10">
        <v>2</v>
      </c>
      <c r="V10">
        <v>0</v>
      </c>
      <c r="W10">
        <v>1</v>
      </c>
      <c r="X10">
        <v>13468</v>
      </c>
      <c r="Y10">
        <v>0</v>
      </c>
      <c r="Z10">
        <v>31592</v>
      </c>
      <c r="AA10" s="1">
        <v>0.399</v>
      </c>
      <c r="AB10">
        <v>614</v>
      </c>
      <c r="AC10" s="3">
        <v>0.140972222222222</v>
      </c>
      <c r="AD10">
        <v>4</v>
      </c>
      <c r="AE10">
        <v>2497</v>
      </c>
      <c r="AF10">
        <v>6</v>
      </c>
      <c r="AG10">
        <v>900</v>
      </c>
      <c r="AH10">
        <v>0</v>
      </c>
      <c r="AI10">
        <v>1</v>
      </c>
    </row>
    <row r="11" spans="1:35">
      <c r="A11">
        <v>260512</v>
      </c>
      <c r="B11">
        <v>5</v>
      </c>
      <c r="C11" t="s">
        <v>76</v>
      </c>
      <c r="D11" t="s">
        <v>84</v>
      </c>
      <c r="E11">
        <v>26</v>
      </c>
      <c r="F11" t="s">
        <v>41</v>
      </c>
      <c r="G11">
        <f>VLOOKUP(F11,选手工资!$A:$G,7,FALSE)</f>
        <v>2</v>
      </c>
      <c r="H11" t="s">
        <v>133</v>
      </c>
      <c r="I11">
        <v>4</v>
      </c>
      <c r="J11">
        <v>14</v>
      </c>
      <c r="K11">
        <v>1</v>
      </c>
      <c r="L11">
        <v>11</v>
      </c>
      <c r="M11">
        <v>18</v>
      </c>
      <c r="N11" s="1">
        <v>0.731</v>
      </c>
      <c r="O11" s="1">
        <v>0.159</v>
      </c>
      <c r="P11">
        <v>9142</v>
      </c>
      <c r="Q11">
        <v>56</v>
      </c>
      <c r="R11">
        <v>1</v>
      </c>
      <c r="S11">
        <v>293</v>
      </c>
      <c r="T11">
        <v>323</v>
      </c>
      <c r="U11">
        <v>4</v>
      </c>
      <c r="V11">
        <v>2163</v>
      </c>
      <c r="W11">
        <v>0</v>
      </c>
      <c r="X11">
        <v>17436</v>
      </c>
      <c r="Y11">
        <v>0</v>
      </c>
      <c r="Z11">
        <v>31074</v>
      </c>
      <c r="AA11" s="1">
        <v>0.418</v>
      </c>
      <c r="AB11">
        <v>831</v>
      </c>
      <c r="AC11" s="3">
        <v>0.240277777777778</v>
      </c>
      <c r="AD11">
        <v>3</v>
      </c>
      <c r="AE11">
        <v>2166</v>
      </c>
      <c r="AF11">
        <v>5</v>
      </c>
      <c r="AG11">
        <v>500</v>
      </c>
      <c r="AH11">
        <v>1</v>
      </c>
      <c r="AI11">
        <v>8</v>
      </c>
    </row>
    <row r="14" spans="1:35">
      <c r="A14" t="s">
        <v>90</v>
      </c>
      <c r="B14" s="4">
        <v>8808322394</v>
      </c>
      <c r="C14" s="4"/>
    </row>
    <row r="15" spans="1:35">
      <c r="A15" t="s">
        <v>91</v>
      </c>
      <c r="B15" s="7" t="s">
        <v>197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14" sqref="A14:C15"/>
    </sheetView>
  </sheetViews>
  <sheetFormatPr defaultColWidth="9.25" defaultRowHeight="16.8"/>
  <cols>
    <col min="31" max="32" width="12.5" customWidth="1"/>
    <col min="33" max="33" width="15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260513</v>
      </c>
      <c r="B2">
        <v>1</v>
      </c>
      <c r="C2" t="s">
        <v>83</v>
      </c>
      <c r="D2" t="s">
        <v>84</v>
      </c>
      <c r="E2">
        <v>14</v>
      </c>
      <c r="F2" t="s">
        <v>30</v>
      </c>
      <c r="G2">
        <f>VLOOKUP(F2,选手工资!$A:$I,8,FALSE)</f>
        <v>4.5</v>
      </c>
      <c r="H2" t="s">
        <v>198</v>
      </c>
      <c r="I2">
        <v>2</v>
      </c>
      <c r="J2">
        <v>16</v>
      </c>
      <c r="K2">
        <v>5</v>
      </c>
      <c r="L2">
        <v>7</v>
      </c>
      <c r="M2">
        <v>6</v>
      </c>
      <c r="N2" s="1">
        <v>0.786</v>
      </c>
      <c r="O2" s="1">
        <v>0.419</v>
      </c>
      <c r="P2">
        <v>11289</v>
      </c>
      <c r="Q2">
        <v>182</v>
      </c>
      <c r="R2">
        <v>7</v>
      </c>
      <c r="S2">
        <v>511</v>
      </c>
      <c r="T2">
        <v>622</v>
      </c>
      <c r="U2">
        <v>3</v>
      </c>
      <c r="V2">
        <v>0</v>
      </c>
      <c r="W2">
        <v>0</v>
      </c>
      <c r="X2">
        <v>21279</v>
      </c>
      <c r="Y2">
        <v>420</v>
      </c>
      <c r="Z2">
        <v>33385</v>
      </c>
      <c r="AA2" s="1">
        <v>0.461</v>
      </c>
      <c r="AB2">
        <v>894</v>
      </c>
      <c r="AC2" s="3">
        <v>0.143055555555556</v>
      </c>
      <c r="AD2">
        <v>9</v>
      </c>
      <c r="AE2">
        <v>4524</v>
      </c>
      <c r="AF2">
        <v>9</v>
      </c>
      <c r="AG2">
        <v>100</v>
      </c>
      <c r="AH2">
        <v>1</v>
      </c>
      <c r="AI2">
        <v>0</v>
      </c>
    </row>
    <row r="3" spans="1:35">
      <c r="A3">
        <v>260513</v>
      </c>
      <c r="B3">
        <v>1</v>
      </c>
      <c r="C3" t="s">
        <v>83</v>
      </c>
      <c r="D3" t="s">
        <v>84</v>
      </c>
      <c r="E3">
        <v>14</v>
      </c>
      <c r="F3" t="s">
        <v>38</v>
      </c>
      <c r="G3">
        <f>VLOOKUP(F3,选手工资!$A:$I,8,FALSE)</f>
        <v>3</v>
      </c>
      <c r="H3" t="s">
        <v>149</v>
      </c>
      <c r="I3">
        <v>3</v>
      </c>
      <c r="J3">
        <v>13</v>
      </c>
      <c r="K3">
        <v>2</v>
      </c>
      <c r="L3">
        <v>8</v>
      </c>
      <c r="M3">
        <v>4</v>
      </c>
      <c r="N3" s="1">
        <v>0.429</v>
      </c>
      <c r="O3" s="1">
        <v>0.12</v>
      </c>
      <c r="P3">
        <v>8018</v>
      </c>
      <c r="Q3">
        <v>106</v>
      </c>
      <c r="R3">
        <v>8</v>
      </c>
      <c r="S3">
        <v>338</v>
      </c>
      <c r="T3">
        <v>384</v>
      </c>
      <c r="U3">
        <v>1</v>
      </c>
      <c r="V3">
        <v>0</v>
      </c>
      <c r="W3">
        <v>0</v>
      </c>
      <c r="X3">
        <v>6066</v>
      </c>
      <c r="Y3">
        <v>0</v>
      </c>
      <c r="Z3">
        <v>31997</v>
      </c>
      <c r="AA3" s="1">
        <v>0.415</v>
      </c>
      <c r="AB3">
        <v>766</v>
      </c>
      <c r="AC3" s="3">
        <v>0.169444444444444</v>
      </c>
      <c r="AD3">
        <v>5</v>
      </c>
      <c r="AE3">
        <v>3006</v>
      </c>
      <c r="AF3">
        <v>6</v>
      </c>
      <c r="AG3">
        <v>0</v>
      </c>
      <c r="AH3">
        <v>0</v>
      </c>
      <c r="AI3">
        <v>0</v>
      </c>
    </row>
    <row r="4" spans="1:35">
      <c r="A4">
        <v>260513</v>
      </c>
      <c r="B4">
        <v>1</v>
      </c>
      <c r="C4" t="s">
        <v>83</v>
      </c>
      <c r="D4" t="s">
        <v>84</v>
      </c>
      <c r="E4">
        <v>14</v>
      </c>
      <c r="F4" t="s">
        <v>21</v>
      </c>
      <c r="G4">
        <f>VLOOKUP(F4,选手工资!$A:$I,8,FALSE)</f>
        <v>7.5</v>
      </c>
      <c r="H4" t="s">
        <v>82</v>
      </c>
      <c r="I4">
        <v>1</v>
      </c>
      <c r="J4">
        <v>12</v>
      </c>
      <c r="K4">
        <v>1</v>
      </c>
      <c r="L4">
        <v>7</v>
      </c>
      <c r="M4">
        <v>5</v>
      </c>
      <c r="N4" s="1">
        <v>0.429</v>
      </c>
      <c r="O4" s="1">
        <v>0.132</v>
      </c>
      <c r="P4">
        <v>9222</v>
      </c>
      <c r="Q4">
        <v>119</v>
      </c>
      <c r="R4">
        <v>5</v>
      </c>
      <c r="S4">
        <v>366</v>
      </c>
      <c r="T4">
        <v>354</v>
      </c>
      <c r="U4">
        <v>0</v>
      </c>
      <c r="V4">
        <v>0</v>
      </c>
      <c r="W4">
        <v>0</v>
      </c>
      <c r="X4">
        <v>6684</v>
      </c>
      <c r="Y4">
        <v>0</v>
      </c>
      <c r="Z4">
        <v>25729</v>
      </c>
      <c r="AA4" s="1">
        <v>0.31</v>
      </c>
      <c r="AB4">
        <v>399</v>
      </c>
      <c r="AC4" s="3">
        <v>0.127777777777778</v>
      </c>
      <c r="AD4">
        <v>3</v>
      </c>
      <c r="AE4">
        <v>3232</v>
      </c>
      <c r="AF4">
        <v>5</v>
      </c>
      <c r="AG4">
        <v>0</v>
      </c>
      <c r="AH4">
        <v>0</v>
      </c>
      <c r="AI4">
        <v>0</v>
      </c>
    </row>
    <row r="5" spans="1:35">
      <c r="A5">
        <v>260513</v>
      </c>
      <c r="B5">
        <v>1</v>
      </c>
      <c r="C5" t="s">
        <v>83</v>
      </c>
      <c r="D5" t="s">
        <v>84</v>
      </c>
      <c r="E5">
        <v>14</v>
      </c>
      <c r="F5" t="s">
        <v>34</v>
      </c>
      <c r="G5">
        <f>VLOOKUP(F5,选手工资!$A:$I,8,FALSE)</f>
        <v>4</v>
      </c>
      <c r="H5" t="s">
        <v>167</v>
      </c>
      <c r="I5">
        <v>4</v>
      </c>
      <c r="J5">
        <v>12</v>
      </c>
      <c r="K5">
        <v>4</v>
      </c>
      <c r="L5">
        <v>11</v>
      </c>
      <c r="M5">
        <v>2</v>
      </c>
      <c r="N5" s="1">
        <v>0.429</v>
      </c>
      <c r="O5" s="1">
        <v>0.201</v>
      </c>
      <c r="P5">
        <v>5563</v>
      </c>
      <c r="Q5">
        <v>28</v>
      </c>
      <c r="R5">
        <v>0</v>
      </c>
      <c r="S5">
        <v>233</v>
      </c>
      <c r="T5">
        <v>331</v>
      </c>
      <c r="U5">
        <v>2</v>
      </c>
      <c r="V5">
        <v>0</v>
      </c>
      <c r="W5">
        <v>0</v>
      </c>
      <c r="X5">
        <v>10199</v>
      </c>
      <c r="Y5">
        <v>0</v>
      </c>
      <c r="Z5">
        <v>18252</v>
      </c>
      <c r="AA5" s="1">
        <v>0.297</v>
      </c>
      <c r="AB5">
        <v>428</v>
      </c>
      <c r="AC5" s="3">
        <v>0.16875</v>
      </c>
      <c r="AD5">
        <v>6</v>
      </c>
      <c r="AE5">
        <v>1490</v>
      </c>
      <c r="AF5">
        <v>5</v>
      </c>
      <c r="AG5">
        <v>300</v>
      </c>
      <c r="AH5">
        <v>0</v>
      </c>
      <c r="AI5">
        <v>1</v>
      </c>
    </row>
    <row r="6" spans="1:35">
      <c r="A6">
        <v>260513</v>
      </c>
      <c r="B6">
        <v>1</v>
      </c>
      <c r="C6" t="s">
        <v>83</v>
      </c>
      <c r="D6" t="s">
        <v>84</v>
      </c>
      <c r="E6">
        <v>14</v>
      </c>
      <c r="F6" t="s">
        <v>22</v>
      </c>
      <c r="G6">
        <f>VLOOKUP(F6,选手工资!$A:$I,8,FALSE)</f>
        <v>6.5</v>
      </c>
      <c r="H6" t="s">
        <v>106</v>
      </c>
      <c r="I6">
        <v>5</v>
      </c>
      <c r="J6">
        <v>10</v>
      </c>
      <c r="K6">
        <v>2</v>
      </c>
      <c r="L6">
        <v>11</v>
      </c>
      <c r="M6">
        <v>6</v>
      </c>
      <c r="N6" s="1">
        <v>0.571</v>
      </c>
      <c r="O6" s="1">
        <v>0.129</v>
      </c>
      <c r="P6">
        <v>4763</v>
      </c>
      <c r="Q6">
        <v>12</v>
      </c>
      <c r="R6">
        <v>0</v>
      </c>
      <c r="S6">
        <v>212</v>
      </c>
      <c r="T6">
        <v>256</v>
      </c>
      <c r="U6">
        <v>2</v>
      </c>
      <c r="V6">
        <v>108</v>
      </c>
      <c r="W6">
        <v>0</v>
      </c>
      <c r="X6">
        <v>6533</v>
      </c>
      <c r="Y6">
        <v>0</v>
      </c>
      <c r="Z6">
        <v>20145</v>
      </c>
      <c r="AA6" s="1">
        <v>0.361</v>
      </c>
      <c r="AB6">
        <v>377</v>
      </c>
      <c r="AC6" s="3">
        <v>0.18125</v>
      </c>
      <c r="AD6">
        <v>2</v>
      </c>
      <c r="AE6">
        <v>2302</v>
      </c>
      <c r="AF6">
        <v>4</v>
      </c>
      <c r="AG6">
        <v>300</v>
      </c>
      <c r="AH6">
        <v>0</v>
      </c>
      <c r="AI6">
        <v>5</v>
      </c>
    </row>
    <row r="7" spans="1:35">
      <c r="A7">
        <v>260513</v>
      </c>
      <c r="B7">
        <v>1</v>
      </c>
      <c r="C7" t="s">
        <v>76</v>
      </c>
      <c r="D7" t="s">
        <v>77</v>
      </c>
      <c r="E7">
        <v>44</v>
      </c>
      <c r="F7" t="s">
        <v>17</v>
      </c>
      <c r="G7">
        <f>VLOOKUP(F7,选手工资!$A:$I,8,FALSE)</f>
        <v>7</v>
      </c>
      <c r="H7" t="s">
        <v>102</v>
      </c>
      <c r="I7">
        <v>2</v>
      </c>
      <c r="J7">
        <v>19</v>
      </c>
      <c r="K7">
        <v>9</v>
      </c>
      <c r="L7">
        <v>2</v>
      </c>
      <c r="M7">
        <v>13</v>
      </c>
      <c r="N7" s="1">
        <v>0.5</v>
      </c>
      <c r="O7" s="1">
        <v>0.255</v>
      </c>
      <c r="P7">
        <v>14949</v>
      </c>
      <c r="Q7">
        <v>214</v>
      </c>
      <c r="R7">
        <v>10</v>
      </c>
      <c r="S7">
        <v>610</v>
      </c>
      <c r="T7">
        <v>780</v>
      </c>
      <c r="U7">
        <v>2</v>
      </c>
      <c r="V7">
        <v>0</v>
      </c>
      <c r="W7">
        <v>0</v>
      </c>
      <c r="X7">
        <v>20431</v>
      </c>
      <c r="Y7">
        <v>3520</v>
      </c>
      <c r="Z7">
        <v>7492</v>
      </c>
      <c r="AA7" s="1">
        <v>0.292</v>
      </c>
      <c r="AB7">
        <v>255</v>
      </c>
      <c r="AC7" s="3">
        <v>0.04375</v>
      </c>
      <c r="AD7">
        <v>10</v>
      </c>
      <c r="AE7">
        <v>4947</v>
      </c>
      <c r="AF7">
        <v>9</v>
      </c>
      <c r="AG7">
        <v>100</v>
      </c>
      <c r="AH7">
        <v>1</v>
      </c>
      <c r="AI7">
        <v>4</v>
      </c>
    </row>
    <row r="8" spans="1:35">
      <c r="A8">
        <v>260513</v>
      </c>
      <c r="B8">
        <v>1</v>
      </c>
      <c r="C8" t="s">
        <v>76</v>
      </c>
      <c r="D8" t="s">
        <v>77</v>
      </c>
      <c r="E8">
        <v>44</v>
      </c>
      <c r="F8" t="s">
        <v>18</v>
      </c>
      <c r="G8">
        <f>VLOOKUP(F8,选手工资!$A:$I,8,FALSE)</f>
        <v>5.5</v>
      </c>
      <c r="H8" t="s">
        <v>93</v>
      </c>
      <c r="I8">
        <v>1</v>
      </c>
      <c r="J8">
        <v>18</v>
      </c>
      <c r="K8">
        <v>11</v>
      </c>
      <c r="L8">
        <v>1</v>
      </c>
      <c r="M8">
        <v>10</v>
      </c>
      <c r="N8" s="1">
        <v>0.477</v>
      </c>
      <c r="O8" s="1">
        <v>0.242</v>
      </c>
      <c r="P8">
        <v>16250</v>
      </c>
      <c r="Q8">
        <v>234</v>
      </c>
      <c r="R8">
        <v>13</v>
      </c>
      <c r="S8">
        <v>642</v>
      </c>
      <c r="T8">
        <v>727</v>
      </c>
      <c r="U8">
        <v>3</v>
      </c>
      <c r="V8">
        <v>6862</v>
      </c>
      <c r="W8">
        <v>0</v>
      </c>
      <c r="X8">
        <v>19384</v>
      </c>
      <c r="Y8">
        <v>5870</v>
      </c>
      <c r="Z8">
        <v>16509</v>
      </c>
      <c r="AA8" s="1">
        <v>0.419</v>
      </c>
      <c r="AB8">
        <v>27</v>
      </c>
      <c r="AC8" s="3">
        <v>0.0256944444444444</v>
      </c>
      <c r="AD8">
        <v>1</v>
      </c>
      <c r="AE8">
        <v>4845</v>
      </c>
      <c r="AF8">
        <v>7</v>
      </c>
      <c r="AG8">
        <v>0</v>
      </c>
      <c r="AH8">
        <v>0</v>
      </c>
      <c r="AI8">
        <v>0</v>
      </c>
    </row>
    <row r="9" spans="1:35">
      <c r="A9">
        <v>260513</v>
      </c>
      <c r="B9">
        <v>1</v>
      </c>
      <c r="C9" t="s">
        <v>76</v>
      </c>
      <c r="D9" t="s">
        <v>77</v>
      </c>
      <c r="E9">
        <v>44</v>
      </c>
      <c r="F9" t="s">
        <v>14</v>
      </c>
      <c r="G9">
        <f>VLOOKUP(F9,选手工资!$A:$I,8,FALSE)</f>
        <v>8.5</v>
      </c>
      <c r="H9" t="s">
        <v>80</v>
      </c>
      <c r="I9">
        <v>3</v>
      </c>
      <c r="J9">
        <v>16</v>
      </c>
      <c r="K9">
        <v>12</v>
      </c>
      <c r="L9">
        <v>5</v>
      </c>
      <c r="M9">
        <v>17</v>
      </c>
      <c r="N9" s="1">
        <v>0.659</v>
      </c>
      <c r="O9" s="1">
        <v>0.243</v>
      </c>
      <c r="P9">
        <v>14608</v>
      </c>
      <c r="Q9">
        <v>194</v>
      </c>
      <c r="R9">
        <v>12</v>
      </c>
      <c r="S9">
        <v>603</v>
      </c>
      <c r="T9">
        <v>611</v>
      </c>
      <c r="U9">
        <v>0</v>
      </c>
      <c r="V9">
        <v>2377</v>
      </c>
      <c r="W9">
        <v>0</v>
      </c>
      <c r="X9">
        <v>19513</v>
      </c>
      <c r="Y9">
        <v>1014</v>
      </c>
      <c r="Z9">
        <v>27119</v>
      </c>
      <c r="AA9" s="1">
        <v>0.313</v>
      </c>
      <c r="AB9">
        <v>645</v>
      </c>
      <c r="AC9" s="3">
        <v>0.113888888888889</v>
      </c>
      <c r="AD9">
        <v>8</v>
      </c>
      <c r="AE9">
        <v>4578</v>
      </c>
      <c r="AF9">
        <v>7</v>
      </c>
      <c r="AG9">
        <v>0</v>
      </c>
      <c r="AH9">
        <v>0</v>
      </c>
      <c r="AI9">
        <v>1</v>
      </c>
    </row>
    <row r="10" spans="1:35">
      <c r="A10">
        <v>260513</v>
      </c>
      <c r="B10">
        <v>1</v>
      </c>
      <c r="C10" t="s">
        <v>76</v>
      </c>
      <c r="D10" t="s">
        <v>77</v>
      </c>
      <c r="E10">
        <v>44</v>
      </c>
      <c r="F10" t="s">
        <v>41</v>
      </c>
      <c r="G10">
        <f>VLOOKUP(F10,选手工资!$A:$I,8,FALSE)</f>
        <v>1.5</v>
      </c>
      <c r="H10" t="s">
        <v>184</v>
      </c>
      <c r="I10">
        <v>5</v>
      </c>
      <c r="J10">
        <v>14</v>
      </c>
      <c r="K10">
        <v>6</v>
      </c>
      <c r="L10">
        <v>0</v>
      </c>
      <c r="M10">
        <v>20</v>
      </c>
      <c r="N10" s="1">
        <v>0.591</v>
      </c>
      <c r="O10" s="1">
        <v>0.139</v>
      </c>
      <c r="P10">
        <v>7415</v>
      </c>
      <c r="Q10">
        <v>29</v>
      </c>
      <c r="R10">
        <v>2</v>
      </c>
      <c r="S10">
        <v>321</v>
      </c>
      <c r="T10">
        <v>437</v>
      </c>
      <c r="U10">
        <v>1</v>
      </c>
      <c r="V10">
        <v>5196</v>
      </c>
      <c r="W10">
        <v>0</v>
      </c>
      <c r="X10">
        <v>11108</v>
      </c>
      <c r="Y10">
        <v>17</v>
      </c>
      <c r="Z10">
        <v>7900</v>
      </c>
      <c r="AA10" s="1">
        <v>0.293</v>
      </c>
      <c r="AB10">
        <v>0</v>
      </c>
      <c r="AC10" s="3">
        <v>0</v>
      </c>
      <c r="AD10">
        <v>4</v>
      </c>
      <c r="AE10">
        <v>2486</v>
      </c>
      <c r="AF10">
        <v>7</v>
      </c>
      <c r="AG10">
        <v>400</v>
      </c>
      <c r="AH10">
        <v>2</v>
      </c>
      <c r="AI10">
        <v>5</v>
      </c>
    </row>
    <row r="11" spans="1:35">
      <c r="A11">
        <v>260513</v>
      </c>
      <c r="B11">
        <v>1</v>
      </c>
      <c r="C11" t="s">
        <v>76</v>
      </c>
      <c r="D11" t="s">
        <v>77</v>
      </c>
      <c r="E11">
        <v>44</v>
      </c>
      <c r="F11" t="s">
        <v>35</v>
      </c>
      <c r="G11">
        <f>VLOOKUP(F11,选手工资!$A:$I,8,FALSE)</f>
        <v>3</v>
      </c>
      <c r="H11" t="s">
        <v>153</v>
      </c>
      <c r="I11">
        <v>4</v>
      </c>
      <c r="J11">
        <v>14</v>
      </c>
      <c r="K11">
        <v>5</v>
      </c>
      <c r="L11">
        <v>6</v>
      </c>
      <c r="M11">
        <v>17</v>
      </c>
      <c r="N11" s="1">
        <v>0.5</v>
      </c>
      <c r="O11" s="1">
        <v>0.121</v>
      </c>
      <c r="P11">
        <v>9010</v>
      </c>
      <c r="Q11">
        <v>35</v>
      </c>
      <c r="R11">
        <v>4</v>
      </c>
      <c r="S11">
        <v>339</v>
      </c>
      <c r="T11">
        <v>462</v>
      </c>
      <c r="U11">
        <v>1</v>
      </c>
      <c r="V11">
        <v>0</v>
      </c>
      <c r="W11">
        <v>0</v>
      </c>
      <c r="X11">
        <v>9726</v>
      </c>
      <c r="Y11">
        <v>222</v>
      </c>
      <c r="Z11">
        <v>16303</v>
      </c>
      <c r="AA11" s="1">
        <v>0.284</v>
      </c>
      <c r="AB11">
        <v>457</v>
      </c>
      <c r="AC11" s="3">
        <v>0.122916666666667</v>
      </c>
      <c r="AD11">
        <v>7</v>
      </c>
      <c r="AE11">
        <v>1786</v>
      </c>
      <c r="AF11">
        <v>6</v>
      </c>
      <c r="AG11">
        <v>550</v>
      </c>
      <c r="AH11">
        <v>0</v>
      </c>
      <c r="AI11">
        <v>1</v>
      </c>
    </row>
    <row r="14" spans="1:35">
      <c r="A14" t="s">
        <v>90</v>
      </c>
      <c r="B14" s="4">
        <v>8809325330</v>
      </c>
      <c r="C14" s="4"/>
    </row>
    <row r="15" spans="1:35">
      <c r="A15" t="s">
        <v>91</v>
      </c>
      <c r="B15" s="7" t="s">
        <v>199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14" sqref="A14:C15"/>
    </sheetView>
  </sheetViews>
  <sheetFormatPr defaultColWidth="9.25" defaultRowHeight="16.8"/>
  <cols>
    <col min="31" max="31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260513</v>
      </c>
      <c r="B2">
        <v>2</v>
      </c>
      <c r="C2" t="s">
        <v>83</v>
      </c>
      <c r="D2" t="s">
        <v>77</v>
      </c>
      <c r="E2">
        <v>50</v>
      </c>
      <c r="F2" t="s">
        <v>34</v>
      </c>
      <c r="G2">
        <f>VLOOKUP(F2,选手工资!$A:$I,8,FALSE)</f>
        <v>4</v>
      </c>
      <c r="H2" t="s">
        <v>105</v>
      </c>
      <c r="I2">
        <v>1</v>
      </c>
      <c r="J2">
        <v>29</v>
      </c>
      <c r="K2">
        <v>7</v>
      </c>
      <c r="L2">
        <v>8</v>
      </c>
      <c r="M2">
        <v>24</v>
      </c>
      <c r="N2" s="1">
        <v>0.62</v>
      </c>
      <c r="O2" s="1">
        <v>0.163</v>
      </c>
      <c r="P2">
        <v>30019</v>
      </c>
      <c r="Q2">
        <v>456</v>
      </c>
      <c r="R2">
        <v>6</v>
      </c>
      <c r="S2">
        <v>683</v>
      </c>
      <c r="T2">
        <v>1134</v>
      </c>
      <c r="U2">
        <v>3</v>
      </c>
      <c r="V2">
        <v>0</v>
      </c>
      <c r="W2">
        <v>0</v>
      </c>
      <c r="X2">
        <v>39682</v>
      </c>
      <c r="Y2">
        <v>8392</v>
      </c>
      <c r="Z2">
        <v>139287</v>
      </c>
      <c r="AA2" s="1">
        <v>0.594</v>
      </c>
      <c r="AB2">
        <v>1997</v>
      </c>
      <c r="AC2" s="3">
        <v>0.177777777777778</v>
      </c>
      <c r="AD2">
        <v>2</v>
      </c>
      <c r="AE2">
        <v>3778</v>
      </c>
      <c r="AF2">
        <v>7</v>
      </c>
      <c r="AG2">
        <v>0</v>
      </c>
      <c r="AH2">
        <v>6</v>
      </c>
      <c r="AI2">
        <v>0</v>
      </c>
    </row>
    <row r="3" spans="1:35">
      <c r="A3">
        <v>260513</v>
      </c>
      <c r="B3">
        <v>2</v>
      </c>
      <c r="C3" t="s">
        <v>83</v>
      </c>
      <c r="D3" t="s">
        <v>77</v>
      </c>
      <c r="E3">
        <v>50</v>
      </c>
      <c r="F3" t="s">
        <v>30</v>
      </c>
      <c r="G3">
        <f>VLOOKUP(F3,选手工资!$A:$I,8,FALSE)</f>
        <v>4.5</v>
      </c>
      <c r="H3" t="s">
        <v>103</v>
      </c>
      <c r="I3">
        <v>2</v>
      </c>
      <c r="J3">
        <v>30</v>
      </c>
      <c r="K3">
        <v>15</v>
      </c>
      <c r="L3">
        <v>5</v>
      </c>
      <c r="M3">
        <v>30</v>
      </c>
      <c r="N3" s="1">
        <v>0.9</v>
      </c>
      <c r="O3" s="1">
        <v>0.345</v>
      </c>
      <c r="P3">
        <v>36458</v>
      </c>
      <c r="Q3">
        <v>415</v>
      </c>
      <c r="R3">
        <v>8</v>
      </c>
      <c r="S3">
        <v>757</v>
      </c>
      <c r="T3">
        <v>1289</v>
      </c>
      <c r="U3">
        <v>3</v>
      </c>
      <c r="V3">
        <v>0</v>
      </c>
      <c r="W3">
        <v>0</v>
      </c>
      <c r="X3">
        <v>83877</v>
      </c>
      <c r="Y3">
        <v>6434</v>
      </c>
      <c r="Z3">
        <v>144925</v>
      </c>
      <c r="AA3" s="1">
        <v>0.646</v>
      </c>
      <c r="AB3">
        <v>606</v>
      </c>
      <c r="AC3" s="3">
        <v>0.120138888888889</v>
      </c>
      <c r="AD3">
        <v>9</v>
      </c>
      <c r="AE3">
        <v>3303</v>
      </c>
      <c r="AF3">
        <v>7</v>
      </c>
      <c r="AG3">
        <v>50</v>
      </c>
      <c r="AH3">
        <v>1</v>
      </c>
      <c r="AI3">
        <v>0</v>
      </c>
    </row>
    <row r="4" spans="1:35">
      <c r="A4">
        <v>260513</v>
      </c>
      <c r="B4">
        <v>2</v>
      </c>
      <c r="C4" t="s">
        <v>83</v>
      </c>
      <c r="D4" t="s">
        <v>77</v>
      </c>
      <c r="E4">
        <v>50</v>
      </c>
      <c r="F4" t="s">
        <v>14</v>
      </c>
      <c r="G4">
        <f>VLOOKUP(F4,选手工资!$A:$I,8,FALSE)</f>
        <v>8.5</v>
      </c>
      <c r="H4" t="s">
        <v>177</v>
      </c>
      <c r="I4">
        <v>3</v>
      </c>
      <c r="J4">
        <v>27</v>
      </c>
      <c r="K4">
        <v>9</v>
      </c>
      <c r="L4">
        <v>8</v>
      </c>
      <c r="M4">
        <v>34</v>
      </c>
      <c r="N4" s="1">
        <v>0.86</v>
      </c>
      <c r="O4" s="1">
        <v>0.248</v>
      </c>
      <c r="P4">
        <v>27719</v>
      </c>
      <c r="Q4">
        <v>378</v>
      </c>
      <c r="R4">
        <v>21</v>
      </c>
      <c r="S4">
        <v>673</v>
      </c>
      <c r="T4">
        <v>923</v>
      </c>
      <c r="U4">
        <v>3</v>
      </c>
      <c r="V4">
        <v>0</v>
      </c>
      <c r="W4">
        <v>0</v>
      </c>
      <c r="X4">
        <v>60398</v>
      </c>
      <c r="Y4">
        <v>927</v>
      </c>
      <c r="Z4">
        <v>113717</v>
      </c>
      <c r="AA4" s="1">
        <v>0.576</v>
      </c>
      <c r="AB4">
        <v>3261</v>
      </c>
      <c r="AC4" s="3">
        <v>0.314583333333333</v>
      </c>
      <c r="AD4">
        <v>6</v>
      </c>
      <c r="AE4">
        <v>4393</v>
      </c>
      <c r="AF4">
        <v>6</v>
      </c>
      <c r="AG4">
        <v>0</v>
      </c>
      <c r="AH4">
        <v>0</v>
      </c>
      <c r="AI4">
        <v>1</v>
      </c>
    </row>
    <row r="5" spans="1:35">
      <c r="A5">
        <v>260513</v>
      </c>
      <c r="B5">
        <v>2</v>
      </c>
      <c r="C5" t="s">
        <v>83</v>
      </c>
      <c r="D5" t="s">
        <v>77</v>
      </c>
      <c r="E5">
        <v>50</v>
      </c>
      <c r="F5" t="s">
        <v>22</v>
      </c>
      <c r="G5">
        <f>VLOOKUP(F5,选手工资!$A:$I,8,FALSE)</f>
        <v>6.5</v>
      </c>
      <c r="H5" t="s">
        <v>152</v>
      </c>
      <c r="I5">
        <v>4</v>
      </c>
      <c r="J5">
        <v>25</v>
      </c>
      <c r="K5">
        <v>10</v>
      </c>
      <c r="L5">
        <v>12</v>
      </c>
      <c r="M5">
        <v>24</v>
      </c>
      <c r="N5" s="1">
        <v>0.68</v>
      </c>
      <c r="O5" s="1">
        <v>0.131</v>
      </c>
      <c r="P5">
        <v>18357</v>
      </c>
      <c r="Q5">
        <v>157</v>
      </c>
      <c r="R5">
        <v>0</v>
      </c>
      <c r="S5">
        <v>431</v>
      </c>
      <c r="T5">
        <v>705</v>
      </c>
      <c r="U5">
        <v>3</v>
      </c>
      <c r="V5">
        <v>400</v>
      </c>
      <c r="W5">
        <v>1</v>
      </c>
      <c r="X5">
        <v>31980</v>
      </c>
      <c r="Y5">
        <v>0</v>
      </c>
      <c r="Z5">
        <v>95620</v>
      </c>
      <c r="AA5" s="1">
        <v>0.593</v>
      </c>
      <c r="AB5">
        <v>2622</v>
      </c>
      <c r="AC5" s="3">
        <v>0.372916666666667</v>
      </c>
      <c r="AD5">
        <v>1</v>
      </c>
      <c r="AE5">
        <v>2673</v>
      </c>
      <c r="AF5">
        <v>5</v>
      </c>
      <c r="AG5">
        <v>300</v>
      </c>
      <c r="AH5">
        <v>0</v>
      </c>
      <c r="AI5">
        <v>0</v>
      </c>
    </row>
    <row r="6" spans="1:35">
      <c r="A6">
        <v>260513</v>
      </c>
      <c r="B6">
        <v>2</v>
      </c>
      <c r="C6" t="s">
        <v>83</v>
      </c>
      <c r="D6" t="s">
        <v>77</v>
      </c>
      <c r="E6">
        <v>50</v>
      </c>
      <c r="F6" t="s">
        <v>15</v>
      </c>
      <c r="G6">
        <f>VLOOKUP(F6,选手工资!$A:$I,8,FALSE)</f>
        <v>9.5</v>
      </c>
      <c r="H6" t="s">
        <v>79</v>
      </c>
      <c r="I6">
        <v>5</v>
      </c>
      <c r="J6">
        <v>28</v>
      </c>
      <c r="K6">
        <v>9</v>
      </c>
      <c r="L6">
        <v>6</v>
      </c>
      <c r="M6">
        <v>25</v>
      </c>
      <c r="N6" s="1">
        <v>0.68</v>
      </c>
      <c r="O6" s="1">
        <v>0.112</v>
      </c>
      <c r="P6">
        <v>19214</v>
      </c>
      <c r="Q6">
        <v>52</v>
      </c>
      <c r="R6">
        <v>2</v>
      </c>
      <c r="S6">
        <v>433</v>
      </c>
      <c r="T6">
        <v>986</v>
      </c>
      <c r="U6">
        <v>2</v>
      </c>
      <c r="V6">
        <v>0</v>
      </c>
      <c r="W6">
        <v>0</v>
      </c>
      <c r="X6">
        <v>27303</v>
      </c>
      <c r="Y6">
        <v>1844</v>
      </c>
      <c r="Z6">
        <v>35951</v>
      </c>
      <c r="AA6" s="1">
        <v>0.483</v>
      </c>
      <c r="AB6">
        <v>596</v>
      </c>
      <c r="AC6" s="3">
        <v>0.149305555555556</v>
      </c>
      <c r="AD6">
        <v>5</v>
      </c>
      <c r="AE6">
        <v>1607</v>
      </c>
      <c r="AF6">
        <v>5</v>
      </c>
      <c r="AG6">
        <v>1700</v>
      </c>
      <c r="AH6">
        <v>1</v>
      </c>
      <c r="AI6">
        <v>17</v>
      </c>
    </row>
    <row r="7" spans="1:35">
      <c r="A7">
        <v>260513</v>
      </c>
      <c r="B7">
        <v>2</v>
      </c>
      <c r="C7" t="s">
        <v>76</v>
      </c>
      <c r="D7" t="s">
        <v>84</v>
      </c>
      <c r="E7">
        <v>39</v>
      </c>
      <c r="F7" t="s">
        <v>21</v>
      </c>
      <c r="G7">
        <f>VLOOKUP(F7,选手工资!$A:$I,8,FALSE)</f>
        <v>7.5</v>
      </c>
      <c r="H7" t="s">
        <v>96</v>
      </c>
      <c r="I7">
        <v>2</v>
      </c>
      <c r="J7">
        <v>27</v>
      </c>
      <c r="K7">
        <v>15</v>
      </c>
      <c r="L7">
        <v>9</v>
      </c>
      <c r="M7">
        <v>16</v>
      </c>
      <c r="N7" s="1">
        <v>0.795</v>
      </c>
      <c r="O7" s="1">
        <v>0.349</v>
      </c>
      <c r="P7">
        <v>29100</v>
      </c>
      <c r="Q7">
        <v>515</v>
      </c>
      <c r="R7">
        <v>10</v>
      </c>
      <c r="S7">
        <v>660</v>
      </c>
      <c r="T7">
        <v>929</v>
      </c>
      <c r="U7">
        <v>1</v>
      </c>
      <c r="V7">
        <v>8608</v>
      </c>
      <c r="W7">
        <v>0</v>
      </c>
      <c r="X7">
        <v>75299</v>
      </c>
      <c r="Y7">
        <v>1122</v>
      </c>
      <c r="Z7">
        <v>147584</v>
      </c>
      <c r="AA7" s="1">
        <v>0.469</v>
      </c>
      <c r="AB7">
        <v>5391</v>
      </c>
      <c r="AC7" s="3">
        <v>0.375694444444444</v>
      </c>
      <c r="AD7">
        <v>10</v>
      </c>
      <c r="AE7">
        <v>5896</v>
      </c>
      <c r="AF7">
        <v>9</v>
      </c>
      <c r="AG7">
        <v>0</v>
      </c>
      <c r="AH7">
        <v>2</v>
      </c>
      <c r="AI7">
        <v>0</v>
      </c>
    </row>
    <row r="8" spans="1:35">
      <c r="A8">
        <v>260513</v>
      </c>
      <c r="B8">
        <v>2</v>
      </c>
      <c r="C8" t="s">
        <v>76</v>
      </c>
      <c r="D8" t="s">
        <v>84</v>
      </c>
      <c r="E8">
        <v>39</v>
      </c>
      <c r="F8" t="s">
        <v>17</v>
      </c>
      <c r="G8">
        <f>VLOOKUP(F8,选手工资!$A:$I,8,FALSE)</f>
        <v>7</v>
      </c>
      <c r="H8" t="s">
        <v>80</v>
      </c>
      <c r="I8">
        <v>3</v>
      </c>
      <c r="J8">
        <v>26</v>
      </c>
      <c r="K8">
        <v>10</v>
      </c>
      <c r="L8">
        <v>9</v>
      </c>
      <c r="M8">
        <v>19</v>
      </c>
      <c r="N8" s="1">
        <v>0.744</v>
      </c>
      <c r="O8" s="1">
        <v>0.179</v>
      </c>
      <c r="P8">
        <v>20264</v>
      </c>
      <c r="Q8">
        <v>406</v>
      </c>
      <c r="R8">
        <v>6</v>
      </c>
      <c r="S8">
        <v>515</v>
      </c>
      <c r="T8">
        <v>767</v>
      </c>
      <c r="U8">
        <v>0</v>
      </c>
      <c r="V8">
        <v>6646</v>
      </c>
      <c r="W8">
        <v>0</v>
      </c>
      <c r="X8">
        <v>38630</v>
      </c>
      <c r="Y8">
        <v>221</v>
      </c>
      <c r="Z8">
        <v>93976</v>
      </c>
      <c r="AA8" s="1">
        <v>0.5</v>
      </c>
      <c r="AB8">
        <v>3483</v>
      </c>
      <c r="AC8" s="3">
        <v>0.427777777777778</v>
      </c>
      <c r="AD8">
        <v>4</v>
      </c>
      <c r="AE8">
        <v>4364</v>
      </c>
      <c r="AF8">
        <v>7</v>
      </c>
      <c r="AG8">
        <v>50</v>
      </c>
      <c r="AH8">
        <v>0</v>
      </c>
      <c r="AI8">
        <v>1</v>
      </c>
    </row>
    <row r="9" spans="1:35">
      <c r="A9">
        <v>260513</v>
      </c>
      <c r="B9">
        <v>2</v>
      </c>
      <c r="C9" t="s">
        <v>76</v>
      </c>
      <c r="D9" t="s">
        <v>84</v>
      </c>
      <c r="E9">
        <v>39</v>
      </c>
      <c r="F9" t="s">
        <v>38</v>
      </c>
      <c r="G9">
        <f>VLOOKUP(F9,选手工资!$A:$I,8,FALSE)</f>
        <v>3</v>
      </c>
      <c r="H9" t="s">
        <v>139</v>
      </c>
      <c r="I9">
        <v>1</v>
      </c>
      <c r="J9">
        <v>26</v>
      </c>
      <c r="K9">
        <v>6</v>
      </c>
      <c r="L9">
        <v>9</v>
      </c>
      <c r="M9">
        <v>18</v>
      </c>
      <c r="N9" s="1">
        <v>0.615</v>
      </c>
      <c r="O9" s="1">
        <v>0.316</v>
      </c>
      <c r="P9">
        <v>24761</v>
      </c>
      <c r="Q9">
        <v>485</v>
      </c>
      <c r="R9">
        <v>5</v>
      </c>
      <c r="S9">
        <v>526</v>
      </c>
      <c r="T9">
        <v>814</v>
      </c>
      <c r="U9">
        <v>1</v>
      </c>
      <c r="V9">
        <v>0</v>
      </c>
      <c r="W9">
        <v>0</v>
      </c>
      <c r="X9">
        <v>68123</v>
      </c>
      <c r="Y9">
        <v>2017</v>
      </c>
      <c r="Z9">
        <v>88996</v>
      </c>
      <c r="AA9" s="1">
        <v>0.508</v>
      </c>
      <c r="AB9">
        <v>3367</v>
      </c>
      <c r="AC9" s="3">
        <v>0.364583333333333</v>
      </c>
      <c r="AD9">
        <v>8</v>
      </c>
      <c r="AE9">
        <v>3037</v>
      </c>
      <c r="AF9">
        <v>6</v>
      </c>
      <c r="AG9">
        <v>0</v>
      </c>
      <c r="AH9">
        <v>4</v>
      </c>
      <c r="AI9">
        <v>2</v>
      </c>
    </row>
    <row r="10" spans="1:35">
      <c r="A10">
        <v>260513</v>
      </c>
      <c r="B10">
        <v>2</v>
      </c>
      <c r="C10" t="s">
        <v>76</v>
      </c>
      <c r="D10" t="s">
        <v>84</v>
      </c>
      <c r="E10">
        <v>39</v>
      </c>
      <c r="F10" t="s">
        <v>28</v>
      </c>
      <c r="G10">
        <f>VLOOKUP(F10,选手工资!$A:$I,8,FALSE)</f>
        <v>5</v>
      </c>
      <c r="H10" t="s">
        <v>112</v>
      </c>
      <c r="I10">
        <v>4</v>
      </c>
      <c r="J10">
        <v>21</v>
      </c>
      <c r="K10">
        <v>7</v>
      </c>
      <c r="L10">
        <v>16</v>
      </c>
      <c r="M10">
        <v>18</v>
      </c>
      <c r="N10" s="1">
        <v>0.641</v>
      </c>
      <c r="O10" s="1">
        <v>0.097</v>
      </c>
      <c r="P10">
        <v>14230</v>
      </c>
      <c r="Q10">
        <v>89</v>
      </c>
      <c r="R10">
        <v>8</v>
      </c>
      <c r="S10">
        <v>294</v>
      </c>
      <c r="T10">
        <v>498</v>
      </c>
      <c r="U10">
        <v>3</v>
      </c>
      <c r="V10">
        <v>477</v>
      </c>
      <c r="W10">
        <v>0</v>
      </c>
      <c r="X10">
        <v>20984</v>
      </c>
      <c r="Y10">
        <v>0</v>
      </c>
      <c r="Z10">
        <v>54683</v>
      </c>
      <c r="AA10" s="1">
        <v>0.327</v>
      </c>
      <c r="AB10">
        <v>2621</v>
      </c>
      <c r="AC10" s="3">
        <v>0.414583333333333</v>
      </c>
      <c r="AD10">
        <v>3</v>
      </c>
      <c r="AE10">
        <v>2940</v>
      </c>
      <c r="AF10">
        <v>6</v>
      </c>
      <c r="AG10">
        <v>1050</v>
      </c>
      <c r="AH10">
        <v>2</v>
      </c>
      <c r="AI10">
        <v>11</v>
      </c>
    </row>
    <row r="11" spans="1:35">
      <c r="A11">
        <v>260513</v>
      </c>
      <c r="B11">
        <v>2</v>
      </c>
      <c r="C11" t="s">
        <v>76</v>
      </c>
      <c r="D11" t="s">
        <v>84</v>
      </c>
      <c r="E11">
        <v>39</v>
      </c>
      <c r="F11" t="s">
        <v>13</v>
      </c>
      <c r="G11">
        <f>VLOOKUP(F11,选手工资!$A:$I,8,FALSE)</f>
        <v>11</v>
      </c>
      <c r="H11" t="s">
        <v>132</v>
      </c>
      <c r="I11">
        <v>5</v>
      </c>
      <c r="J11">
        <v>26</v>
      </c>
      <c r="K11">
        <v>1</v>
      </c>
      <c r="L11">
        <v>7</v>
      </c>
      <c r="M11">
        <v>16</v>
      </c>
      <c r="N11" s="1">
        <v>0.436</v>
      </c>
      <c r="O11" s="1">
        <v>0.058</v>
      </c>
      <c r="P11">
        <v>16147</v>
      </c>
      <c r="Q11">
        <v>403</v>
      </c>
      <c r="R11">
        <v>8</v>
      </c>
      <c r="S11">
        <v>616</v>
      </c>
      <c r="T11">
        <v>806</v>
      </c>
      <c r="U11">
        <v>7</v>
      </c>
      <c r="V11">
        <v>0</v>
      </c>
      <c r="W11">
        <v>0</v>
      </c>
      <c r="X11">
        <v>12601</v>
      </c>
      <c r="Y11">
        <v>3</v>
      </c>
      <c r="Z11">
        <v>63094</v>
      </c>
      <c r="AA11" s="1">
        <v>0.432</v>
      </c>
      <c r="AB11">
        <v>919</v>
      </c>
      <c r="AC11" s="3">
        <v>0.317361111111111</v>
      </c>
      <c r="AD11">
        <v>7</v>
      </c>
      <c r="AE11">
        <v>2243</v>
      </c>
      <c r="AF11">
        <v>6</v>
      </c>
      <c r="AG11">
        <v>150</v>
      </c>
      <c r="AH11">
        <v>13</v>
      </c>
      <c r="AI11">
        <v>3</v>
      </c>
    </row>
    <row r="14" spans="1:35">
      <c r="A14" t="s">
        <v>90</v>
      </c>
      <c r="B14" s="4">
        <v>8809369991</v>
      </c>
      <c r="C14" s="4"/>
    </row>
    <row r="15" spans="1:35">
      <c r="A15" t="s">
        <v>91</v>
      </c>
      <c r="B15" s="7" t="s">
        <v>200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14" sqref="A14:C15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260513</v>
      </c>
      <c r="B2">
        <v>3</v>
      </c>
      <c r="C2" t="s">
        <v>83</v>
      </c>
      <c r="D2" t="s">
        <v>77</v>
      </c>
      <c r="E2">
        <v>44</v>
      </c>
      <c r="F2" t="s">
        <v>13</v>
      </c>
      <c r="G2">
        <f>VLOOKUP(F2,选手工资!$A:$I,8,FALSE)</f>
        <v>11</v>
      </c>
      <c r="H2" t="s">
        <v>102</v>
      </c>
      <c r="I2">
        <v>2</v>
      </c>
      <c r="J2">
        <v>24</v>
      </c>
      <c r="K2">
        <v>12</v>
      </c>
      <c r="L2">
        <v>6</v>
      </c>
      <c r="M2">
        <v>14</v>
      </c>
      <c r="N2" s="1">
        <v>0.591</v>
      </c>
      <c r="O2" s="1">
        <v>0.241</v>
      </c>
      <c r="P2">
        <v>22751</v>
      </c>
      <c r="Q2">
        <v>346</v>
      </c>
      <c r="R2">
        <v>7</v>
      </c>
      <c r="S2">
        <v>651</v>
      </c>
      <c r="T2">
        <v>889</v>
      </c>
      <c r="U2">
        <v>2</v>
      </c>
      <c r="V2">
        <v>0</v>
      </c>
      <c r="W2">
        <v>0</v>
      </c>
      <c r="X2">
        <v>31223</v>
      </c>
      <c r="Y2">
        <v>9070</v>
      </c>
      <c r="Z2">
        <v>35587</v>
      </c>
      <c r="AA2" s="1">
        <v>0.535</v>
      </c>
      <c r="AB2">
        <v>927</v>
      </c>
      <c r="AC2" s="3">
        <v>0.218055555555556</v>
      </c>
      <c r="AD2">
        <v>6</v>
      </c>
      <c r="AE2">
        <v>5626</v>
      </c>
      <c r="AF2">
        <v>9</v>
      </c>
      <c r="AG2">
        <v>50</v>
      </c>
      <c r="AH2">
        <v>3</v>
      </c>
      <c r="AI2">
        <v>2</v>
      </c>
    </row>
    <row r="3" spans="1:35">
      <c r="A3">
        <v>260513</v>
      </c>
      <c r="B3">
        <v>3</v>
      </c>
      <c r="C3" t="s">
        <v>83</v>
      </c>
      <c r="D3" t="s">
        <v>77</v>
      </c>
      <c r="E3">
        <v>44</v>
      </c>
      <c r="F3" t="s">
        <v>14</v>
      </c>
      <c r="G3">
        <f>VLOOKUP(F3,选手工资!$A:$I,8,FALSE)</f>
        <v>8.5</v>
      </c>
      <c r="H3" t="s">
        <v>80</v>
      </c>
      <c r="I3">
        <v>3</v>
      </c>
      <c r="J3">
        <v>24</v>
      </c>
      <c r="K3">
        <v>8</v>
      </c>
      <c r="L3">
        <v>1</v>
      </c>
      <c r="M3">
        <v>21</v>
      </c>
      <c r="N3" s="1">
        <v>0.659</v>
      </c>
      <c r="O3" s="1">
        <v>0.278</v>
      </c>
      <c r="P3">
        <v>22246</v>
      </c>
      <c r="Q3">
        <v>318</v>
      </c>
      <c r="R3">
        <v>19</v>
      </c>
      <c r="S3">
        <v>634</v>
      </c>
      <c r="T3">
        <v>917</v>
      </c>
      <c r="U3">
        <v>1</v>
      </c>
      <c r="V3">
        <v>4390</v>
      </c>
      <c r="W3">
        <v>0</v>
      </c>
      <c r="X3">
        <v>36081</v>
      </c>
      <c r="Y3">
        <v>3421</v>
      </c>
      <c r="Z3">
        <v>35413</v>
      </c>
      <c r="AA3" s="1">
        <v>0.494</v>
      </c>
      <c r="AB3">
        <v>317</v>
      </c>
      <c r="AC3" s="3">
        <v>0.0381944444444444</v>
      </c>
      <c r="AD3">
        <v>5</v>
      </c>
      <c r="AE3">
        <v>4336</v>
      </c>
      <c r="AF3">
        <v>7</v>
      </c>
      <c r="AG3">
        <v>0</v>
      </c>
      <c r="AH3">
        <v>2</v>
      </c>
      <c r="AI3">
        <v>0</v>
      </c>
    </row>
    <row r="4" spans="1:35">
      <c r="A4">
        <v>260513</v>
      </c>
      <c r="B4">
        <v>3</v>
      </c>
      <c r="C4" t="s">
        <v>83</v>
      </c>
      <c r="D4" t="s">
        <v>77</v>
      </c>
      <c r="E4">
        <v>44</v>
      </c>
      <c r="F4" t="s">
        <v>18</v>
      </c>
      <c r="G4">
        <f>VLOOKUP(F4,选手工资!$A:$I,8,FALSE)</f>
        <v>5.5</v>
      </c>
      <c r="H4" t="s">
        <v>161</v>
      </c>
      <c r="I4">
        <v>1</v>
      </c>
      <c r="J4">
        <v>24</v>
      </c>
      <c r="K4">
        <v>13</v>
      </c>
      <c r="L4">
        <v>4</v>
      </c>
      <c r="M4">
        <v>12</v>
      </c>
      <c r="N4" s="1">
        <v>0.568</v>
      </c>
      <c r="O4" s="1">
        <v>0.213</v>
      </c>
      <c r="P4">
        <v>24024</v>
      </c>
      <c r="Q4">
        <v>325</v>
      </c>
      <c r="R4">
        <v>23</v>
      </c>
      <c r="S4">
        <v>686</v>
      </c>
      <c r="T4">
        <v>878</v>
      </c>
      <c r="U4">
        <v>3</v>
      </c>
      <c r="V4">
        <v>0</v>
      </c>
      <c r="W4">
        <v>0</v>
      </c>
      <c r="X4">
        <v>27627</v>
      </c>
      <c r="Y4">
        <v>6884</v>
      </c>
      <c r="Z4">
        <v>23677</v>
      </c>
      <c r="AA4" s="1">
        <v>0.426</v>
      </c>
      <c r="AB4">
        <v>954</v>
      </c>
      <c r="AC4" s="3">
        <v>0.127777777777778</v>
      </c>
      <c r="AD4">
        <v>9</v>
      </c>
      <c r="AE4">
        <v>4076</v>
      </c>
      <c r="AF4">
        <v>6</v>
      </c>
      <c r="AG4">
        <v>0</v>
      </c>
      <c r="AH4">
        <v>0</v>
      </c>
      <c r="AI4">
        <v>0</v>
      </c>
    </row>
    <row r="5" spans="1:35">
      <c r="A5">
        <v>260513</v>
      </c>
      <c r="B5">
        <v>3</v>
      </c>
      <c r="C5" t="s">
        <v>83</v>
      </c>
      <c r="D5" t="s">
        <v>77</v>
      </c>
      <c r="E5">
        <v>44</v>
      </c>
      <c r="F5" t="s">
        <v>25</v>
      </c>
      <c r="G5">
        <f>VLOOKUP(F5,选手工资!$A:$I,8,FALSE)</f>
        <v>6.5</v>
      </c>
      <c r="H5" t="s">
        <v>186</v>
      </c>
      <c r="I5">
        <v>5</v>
      </c>
      <c r="J5">
        <v>17</v>
      </c>
      <c r="K5">
        <v>4</v>
      </c>
      <c r="L5">
        <v>6</v>
      </c>
      <c r="M5">
        <v>25</v>
      </c>
      <c r="N5" s="1">
        <v>0.659</v>
      </c>
      <c r="O5" s="1">
        <v>0.092</v>
      </c>
      <c r="P5">
        <v>11263</v>
      </c>
      <c r="Q5">
        <v>36</v>
      </c>
      <c r="R5">
        <v>1</v>
      </c>
      <c r="S5">
        <v>307</v>
      </c>
      <c r="T5">
        <v>467</v>
      </c>
      <c r="U5">
        <v>0</v>
      </c>
      <c r="V5">
        <v>3376</v>
      </c>
      <c r="W5">
        <v>1</v>
      </c>
      <c r="X5">
        <v>11969</v>
      </c>
      <c r="Y5">
        <v>29</v>
      </c>
      <c r="Z5">
        <v>22512</v>
      </c>
      <c r="AA5" s="1">
        <v>0.393</v>
      </c>
      <c r="AB5">
        <v>738</v>
      </c>
      <c r="AC5" s="3">
        <v>0.147222222222222</v>
      </c>
      <c r="AD5">
        <v>1</v>
      </c>
      <c r="AE5">
        <v>1980</v>
      </c>
      <c r="AF5">
        <v>6</v>
      </c>
      <c r="AG5">
        <v>800</v>
      </c>
      <c r="AH5">
        <v>2</v>
      </c>
      <c r="AI5">
        <v>12</v>
      </c>
    </row>
    <row r="6" spans="1:35">
      <c r="A6">
        <v>260513</v>
      </c>
      <c r="B6">
        <v>3</v>
      </c>
      <c r="C6" t="s">
        <v>83</v>
      </c>
      <c r="D6" t="s">
        <v>77</v>
      </c>
      <c r="E6">
        <v>44</v>
      </c>
      <c r="F6" t="s">
        <v>31</v>
      </c>
      <c r="G6">
        <f>VLOOKUP(F6,选手工资!$A:$I,8,FALSE)</f>
        <v>4.5</v>
      </c>
      <c r="H6" t="s">
        <v>89</v>
      </c>
      <c r="I6">
        <v>4</v>
      </c>
      <c r="J6">
        <v>23</v>
      </c>
      <c r="K6">
        <v>6</v>
      </c>
      <c r="L6">
        <v>4</v>
      </c>
      <c r="M6">
        <v>26</v>
      </c>
      <c r="N6" s="1">
        <v>0.727</v>
      </c>
      <c r="O6" s="1">
        <v>0.175</v>
      </c>
      <c r="P6">
        <v>10570</v>
      </c>
      <c r="Q6">
        <v>25</v>
      </c>
      <c r="R6">
        <v>2</v>
      </c>
      <c r="S6">
        <v>326</v>
      </c>
      <c r="T6">
        <v>825</v>
      </c>
      <c r="U6">
        <v>2</v>
      </c>
      <c r="V6">
        <v>0</v>
      </c>
      <c r="W6">
        <v>2</v>
      </c>
      <c r="X6">
        <v>22680</v>
      </c>
      <c r="Y6">
        <v>186</v>
      </c>
      <c r="Z6">
        <v>25427</v>
      </c>
      <c r="AA6" s="1">
        <v>0.54</v>
      </c>
      <c r="AB6">
        <v>244</v>
      </c>
      <c r="AC6" s="3">
        <v>0.0854166666666667</v>
      </c>
      <c r="AD6">
        <v>2</v>
      </c>
      <c r="AE6">
        <v>2106</v>
      </c>
      <c r="AF6">
        <v>5</v>
      </c>
      <c r="AG6">
        <v>650</v>
      </c>
      <c r="AH6">
        <v>0</v>
      </c>
      <c r="AI6">
        <v>2</v>
      </c>
    </row>
    <row r="7" spans="1:35">
      <c r="A7">
        <v>260513</v>
      </c>
      <c r="B7">
        <v>3</v>
      </c>
      <c r="C7" t="s">
        <v>76</v>
      </c>
      <c r="D7" t="s">
        <v>84</v>
      </c>
      <c r="E7">
        <v>21</v>
      </c>
      <c r="F7" t="s">
        <v>30</v>
      </c>
      <c r="G7">
        <f>VLOOKUP(F7,选手工资!$A:$I,8,FALSE)</f>
        <v>4.5</v>
      </c>
      <c r="H7" t="s">
        <v>192</v>
      </c>
      <c r="I7">
        <v>2</v>
      </c>
      <c r="J7">
        <v>21</v>
      </c>
      <c r="K7">
        <v>4</v>
      </c>
      <c r="L7">
        <v>11</v>
      </c>
      <c r="M7">
        <v>9</v>
      </c>
      <c r="N7" s="1">
        <v>0.619</v>
      </c>
      <c r="O7" s="1">
        <v>0.234</v>
      </c>
      <c r="P7">
        <v>15808</v>
      </c>
      <c r="Q7">
        <v>286</v>
      </c>
      <c r="R7">
        <v>1</v>
      </c>
      <c r="S7">
        <v>473</v>
      </c>
      <c r="T7">
        <v>669</v>
      </c>
      <c r="U7">
        <v>5</v>
      </c>
      <c r="V7">
        <v>0</v>
      </c>
      <c r="W7">
        <v>0</v>
      </c>
      <c r="X7">
        <v>17242</v>
      </c>
      <c r="Y7">
        <v>0</v>
      </c>
      <c r="Z7">
        <v>39716</v>
      </c>
      <c r="AA7" s="1">
        <v>0.441</v>
      </c>
      <c r="AB7">
        <v>1735</v>
      </c>
      <c r="AC7" s="3">
        <v>0.261805555555556</v>
      </c>
      <c r="AD7">
        <v>10</v>
      </c>
      <c r="AE7">
        <v>3151</v>
      </c>
      <c r="AF7">
        <v>7</v>
      </c>
      <c r="AG7">
        <v>100</v>
      </c>
      <c r="AH7">
        <v>1</v>
      </c>
      <c r="AI7">
        <v>2</v>
      </c>
    </row>
    <row r="8" spans="1:35">
      <c r="A8">
        <v>260513</v>
      </c>
      <c r="B8">
        <v>3</v>
      </c>
      <c r="C8" t="s">
        <v>76</v>
      </c>
      <c r="D8" t="s">
        <v>84</v>
      </c>
      <c r="E8">
        <v>21</v>
      </c>
      <c r="F8" t="s">
        <v>15</v>
      </c>
      <c r="G8">
        <f>VLOOKUP(F8,选手工资!$A:$I,8,FALSE)</f>
        <v>9.5</v>
      </c>
      <c r="H8" t="s">
        <v>98</v>
      </c>
      <c r="I8">
        <v>5</v>
      </c>
      <c r="J8">
        <v>17</v>
      </c>
      <c r="K8">
        <v>7</v>
      </c>
      <c r="L8">
        <v>9</v>
      </c>
      <c r="M8">
        <v>10</v>
      </c>
      <c r="N8" s="1">
        <v>0.81</v>
      </c>
      <c r="O8" s="1">
        <v>0.18</v>
      </c>
      <c r="P8">
        <v>8171</v>
      </c>
      <c r="Q8">
        <v>29</v>
      </c>
      <c r="R8">
        <v>4</v>
      </c>
      <c r="S8">
        <v>319</v>
      </c>
      <c r="T8">
        <v>475</v>
      </c>
      <c r="U8">
        <v>2</v>
      </c>
      <c r="V8">
        <v>0</v>
      </c>
      <c r="W8">
        <v>0</v>
      </c>
      <c r="X8">
        <v>13267</v>
      </c>
      <c r="Y8">
        <v>0</v>
      </c>
      <c r="Z8">
        <v>22072</v>
      </c>
      <c r="AA8" s="1">
        <v>0.303</v>
      </c>
      <c r="AB8">
        <v>1177</v>
      </c>
      <c r="AC8" s="3">
        <v>0.215972222222222</v>
      </c>
      <c r="AD8">
        <v>7</v>
      </c>
      <c r="AE8">
        <v>1953</v>
      </c>
      <c r="AF8">
        <v>5</v>
      </c>
      <c r="AG8">
        <v>910</v>
      </c>
      <c r="AH8">
        <v>1</v>
      </c>
      <c r="AI8">
        <v>1</v>
      </c>
    </row>
    <row r="9" spans="1:35">
      <c r="A9">
        <v>260513</v>
      </c>
      <c r="B9">
        <v>3</v>
      </c>
      <c r="C9" t="s">
        <v>76</v>
      </c>
      <c r="D9" t="s">
        <v>84</v>
      </c>
      <c r="E9">
        <v>21</v>
      </c>
      <c r="F9" t="s">
        <v>26</v>
      </c>
      <c r="G9">
        <f>VLOOKUP(F9,选手工资!$A:$I,8,FALSE)</f>
        <v>7</v>
      </c>
      <c r="H9" t="s">
        <v>136</v>
      </c>
      <c r="I9">
        <v>3</v>
      </c>
      <c r="J9">
        <v>18</v>
      </c>
      <c r="K9">
        <v>1</v>
      </c>
      <c r="L9">
        <v>13</v>
      </c>
      <c r="M9">
        <v>5</v>
      </c>
      <c r="N9" s="1">
        <v>0.286</v>
      </c>
      <c r="O9" s="1">
        <v>0.143</v>
      </c>
      <c r="P9">
        <v>10803</v>
      </c>
      <c r="Q9">
        <v>158</v>
      </c>
      <c r="R9">
        <v>6</v>
      </c>
      <c r="S9">
        <v>346</v>
      </c>
      <c r="T9">
        <v>496</v>
      </c>
      <c r="U9">
        <v>0</v>
      </c>
      <c r="V9">
        <v>0</v>
      </c>
      <c r="W9">
        <v>0</v>
      </c>
      <c r="X9">
        <v>10542</v>
      </c>
      <c r="Y9">
        <v>388</v>
      </c>
      <c r="Z9">
        <v>77565</v>
      </c>
      <c r="AA9" s="1">
        <v>0.478</v>
      </c>
      <c r="AB9">
        <v>1833</v>
      </c>
      <c r="AC9" s="3">
        <v>0.327777777777778</v>
      </c>
      <c r="AD9">
        <v>3</v>
      </c>
      <c r="AE9">
        <v>2773</v>
      </c>
      <c r="AF9">
        <v>6</v>
      </c>
      <c r="AG9">
        <v>250</v>
      </c>
      <c r="AH9">
        <v>1</v>
      </c>
      <c r="AI9">
        <v>6</v>
      </c>
    </row>
    <row r="10" spans="1:35">
      <c r="A10">
        <v>260513</v>
      </c>
      <c r="B10">
        <v>3</v>
      </c>
      <c r="C10" t="s">
        <v>76</v>
      </c>
      <c r="D10" t="s">
        <v>84</v>
      </c>
      <c r="E10">
        <v>21</v>
      </c>
      <c r="F10" t="s">
        <v>19</v>
      </c>
      <c r="G10">
        <f>VLOOKUP(F10,选手工资!$A:$I,8,FALSE)</f>
        <v>8</v>
      </c>
      <c r="H10" t="s">
        <v>120</v>
      </c>
      <c r="I10">
        <v>4</v>
      </c>
      <c r="J10">
        <v>18</v>
      </c>
      <c r="K10">
        <v>7</v>
      </c>
      <c r="L10">
        <v>7</v>
      </c>
      <c r="M10">
        <v>6</v>
      </c>
      <c r="N10" s="1">
        <v>0.619</v>
      </c>
      <c r="O10" s="1">
        <v>0.243</v>
      </c>
      <c r="P10">
        <v>11178</v>
      </c>
      <c r="Q10">
        <v>120</v>
      </c>
      <c r="R10">
        <v>1</v>
      </c>
      <c r="S10">
        <v>357</v>
      </c>
      <c r="T10">
        <v>501</v>
      </c>
      <c r="U10">
        <v>5</v>
      </c>
      <c r="V10">
        <v>1515</v>
      </c>
      <c r="W10">
        <v>0</v>
      </c>
      <c r="X10">
        <v>17894</v>
      </c>
      <c r="Y10">
        <v>1681</v>
      </c>
      <c r="Z10">
        <v>33485</v>
      </c>
      <c r="AA10" s="1">
        <v>0.366</v>
      </c>
      <c r="AB10">
        <v>899</v>
      </c>
      <c r="AC10" s="3">
        <v>0.225694444444444</v>
      </c>
      <c r="AD10">
        <v>4</v>
      </c>
      <c r="AE10">
        <v>2140</v>
      </c>
      <c r="AF10">
        <v>6</v>
      </c>
      <c r="AG10">
        <v>600</v>
      </c>
      <c r="AH10">
        <v>0</v>
      </c>
      <c r="AI10">
        <v>3</v>
      </c>
    </row>
    <row r="11" spans="1:35">
      <c r="A11">
        <v>260513</v>
      </c>
      <c r="B11">
        <v>3</v>
      </c>
      <c r="C11" t="s">
        <v>76</v>
      </c>
      <c r="D11" t="s">
        <v>84</v>
      </c>
      <c r="E11">
        <v>21</v>
      </c>
      <c r="F11" t="s">
        <v>17</v>
      </c>
      <c r="G11">
        <f>VLOOKUP(F11,选手工资!$A:$I,8,FALSE)</f>
        <v>7</v>
      </c>
      <c r="H11" t="s">
        <v>118</v>
      </c>
      <c r="I11">
        <v>1</v>
      </c>
      <c r="J11">
        <v>21</v>
      </c>
      <c r="K11">
        <v>2</v>
      </c>
      <c r="L11">
        <v>4</v>
      </c>
      <c r="M11">
        <v>11</v>
      </c>
      <c r="N11" s="1">
        <v>0.619</v>
      </c>
      <c r="O11" s="1">
        <v>0.199</v>
      </c>
      <c r="P11">
        <v>18065</v>
      </c>
      <c r="Q11">
        <v>296</v>
      </c>
      <c r="R11">
        <v>27</v>
      </c>
      <c r="S11">
        <v>525</v>
      </c>
      <c r="T11">
        <v>702</v>
      </c>
      <c r="U11">
        <v>0</v>
      </c>
      <c r="V11">
        <v>0</v>
      </c>
      <c r="W11">
        <v>1</v>
      </c>
      <c r="X11">
        <v>14639</v>
      </c>
      <c r="Y11">
        <v>0</v>
      </c>
      <c r="Z11">
        <v>54845</v>
      </c>
      <c r="AA11" s="1">
        <v>0.449</v>
      </c>
      <c r="AB11">
        <v>1239</v>
      </c>
      <c r="AC11" s="3">
        <v>0.128472222222222</v>
      </c>
      <c r="AD11">
        <v>8</v>
      </c>
      <c r="AE11">
        <v>3308</v>
      </c>
      <c r="AF11">
        <v>7</v>
      </c>
      <c r="AG11">
        <v>0</v>
      </c>
      <c r="AH11">
        <v>0</v>
      </c>
      <c r="AI11">
        <v>1</v>
      </c>
    </row>
    <row r="14" spans="1:35">
      <c r="A14" t="s">
        <v>90</v>
      </c>
      <c r="B14" s="4">
        <v>8809369991</v>
      </c>
      <c r="C14" s="4"/>
    </row>
    <row r="15" spans="1:35">
      <c r="A15" t="s">
        <v>91</v>
      </c>
      <c r="B15" s="7" t="s">
        <v>200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14" sqref="A14:C15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260513</v>
      </c>
      <c r="B2">
        <v>4</v>
      </c>
      <c r="C2" t="s">
        <v>83</v>
      </c>
      <c r="D2" t="s">
        <v>77</v>
      </c>
      <c r="E2">
        <v>57</v>
      </c>
      <c r="F2" t="s">
        <v>13</v>
      </c>
      <c r="G2">
        <f>VLOOKUP(F2,选手工资!$A:$I,8,FALSE)</f>
        <v>11</v>
      </c>
      <c r="H2" t="s">
        <v>192</v>
      </c>
      <c r="I2">
        <v>2</v>
      </c>
      <c r="J2">
        <v>26</v>
      </c>
      <c r="K2">
        <v>15</v>
      </c>
      <c r="L2">
        <v>7</v>
      </c>
      <c r="M2">
        <v>23</v>
      </c>
      <c r="N2" s="1">
        <v>0.667</v>
      </c>
      <c r="O2" s="1">
        <v>0.338</v>
      </c>
      <c r="P2">
        <v>20560</v>
      </c>
      <c r="Q2">
        <v>247</v>
      </c>
      <c r="R2">
        <v>10</v>
      </c>
      <c r="S2">
        <v>607</v>
      </c>
      <c r="T2">
        <v>926</v>
      </c>
      <c r="U2">
        <v>2</v>
      </c>
      <c r="V2">
        <v>106</v>
      </c>
      <c r="W2">
        <v>1</v>
      </c>
      <c r="X2">
        <v>41481</v>
      </c>
      <c r="Y2">
        <v>3709</v>
      </c>
      <c r="Z2">
        <v>55589</v>
      </c>
      <c r="AA2" s="1">
        <v>0.468</v>
      </c>
      <c r="AB2">
        <v>2171</v>
      </c>
      <c r="AC2" s="3">
        <v>0.268055555555556</v>
      </c>
      <c r="AD2">
        <v>6</v>
      </c>
      <c r="AE2">
        <v>4029</v>
      </c>
      <c r="AF2">
        <v>8</v>
      </c>
      <c r="AG2">
        <v>50</v>
      </c>
      <c r="AH2">
        <v>1</v>
      </c>
      <c r="AI2">
        <v>1</v>
      </c>
    </row>
    <row r="3" spans="1:35">
      <c r="A3">
        <v>260513</v>
      </c>
      <c r="B3">
        <v>4</v>
      </c>
      <c r="C3" t="s">
        <v>83</v>
      </c>
      <c r="D3" t="s">
        <v>77</v>
      </c>
      <c r="E3">
        <v>57</v>
      </c>
      <c r="F3" t="s">
        <v>18</v>
      </c>
      <c r="G3">
        <f>VLOOKUP(F3,选手工资!$A:$I,8,FALSE)</f>
        <v>5.5</v>
      </c>
      <c r="H3" t="s">
        <v>80</v>
      </c>
      <c r="I3">
        <v>3</v>
      </c>
      <c r="J3">
        <v>27</v>
      </c>
      <c r="K3">
        <v>15</v>
      </c>
      <c r="L3">
        <v>5</v>
      </c>
      <c r="M3">
        <v>24</v>
      </c>
      <c r="N3" s="1">
        <v>0.684</v>
      </c>
      <c r="O3" s="1">
        <v>0.24</v>
      </c>
      <c r="P3">
        <v>27260</v>
      </c>
      <c r="Q3">
        <v>310</v>
      </c>
      <c r="R3">
        <v>7</v>
      </c>
      <c r="S3">
        <v>687</v>
      </c>
      <c r="T3">
        <v>1058</v>
      </c>
      <c r="U3">
        <v>4</v>
      </c>
      <c r="V3">
        <v>7440</v>
      </c>
      <c r="W3">
        <v>0</v>
      </c>
      <c r="X3">
        <v>29482</v>
      </c>
      <c r="Y3">
        <v>4733</v>
      </c>
      <c r="Z3">
        <v>50653</v>
      </c>
      <c r="AA3" s="1">
        <v>0.446</v>
      </c>
      <c r="AB3">
        <v>700</v>
      </c>
      <c r="AC3" s="3">
        <v>0.134027777777778</v>
      </c>
      <c r="AD3">
        <v>5</v>
      </c>
      <c r="AE3">
        <v>3727</v>
      </c>
      <c r="AF3">
        <v>7</v>
      </c>
      <c r="AG3">
        <v>0</v>
      </c>
      <c r="AH3">
        <v>1</v>
      </c>
      <c r="AI3">
        <v>1</v>
      </c>
    </row>
    <row r="4" spans="1:35">
      <c r="A4">
        <v>260513</v>
      </c>
      <c r="B4">
        <v>4</v>
      </c>
      <c r="C4" t="s">
        <v>83</v>
      </c>
      <c r="D4" t="s">
        <v>77</v>
      </c>
      <c r="E4">
        <v>57</v>
      </c>
      <c r="F4" t="s">
        <v>17</v>
      </c>
      <c r="G4">
        <f>VLOOKUP(F4,选手工资!$A:$I,8,FALSE)</f>
        <v>7</v>
      </c>
      <c r="H4" t="s">
        <v>118</v>
      </c>
      <c r="I4">
        <v>1</v>
      </c>
      <c r="J4">
        <v>27</v>
      </c>
      <c r="K4">
        <v>15</v>
      </c>
      <c r="L4">
        <v>3</v>
      </c>
      <c r="M4">
        <v>12</v>
      </c>
      <c r="N4" s="1">
        <v>0.474</v>
      </c>
      <c r="O4" s="1">
        <v>0.22</v>
      </c>
      <c r="P4">
        <v>32893</v>
      </c>
      <c r="Q4">
        <v>453</v>
      </c>
      <c r="R4">
        <v>18</v>
      </c>
      <c r="S4">
        <v>806</v>
      </c>
      <c r="T4">
        <v>1091</v>
      </c>
      <c r="U4">
        <v>3</v>
      </c>
      <c r="V4">
        <v>0</v>
      </c>
      <c r="W4">
        <v>1</v>
      </c>
      <c r="X4">
        <v>26941</v>
      </c>
      <c r="Y4">
        <v>13052</v>
      </c>
      <c r="Z4">
        <v>51182</v>
      </c>
      <c r="AA4" s="1">
        <v>0.472</v>
      </c>
      <c r="AB4">
        <v>805</v>
      </c>
      <c r="AC4" s="3">
        <v>0.104861111111111</v>
      </c>
      <c r="AD4">
        <v>9</v>
      </c>
      <c r="AE4">
        <v>3582</v>
      </c>
      <c r="AF4">
        <v>6</v>
      </c>
      <c r="AG4">
        <v>0</v>
      </c>
      <c r="AH4">
        <v>0</v>
      </c>
      <c r="AI4">
        <v>3</v>
      </c>
    </row>
    <row r="5" spans="1:35">
      <c r="A5">
        <v>260513</v>
      </c>
      <c r="B5">
        <v>4</v>
      </c>
      <c r="C5" t="s">
        <v>83</v>
      </c>
      <c r="D5" t="s">
        <v>77</v>
      </c>
      <c r="E5">
        <v>57</v>
      </c>
      <c r="F5" t="s">
        <v>28</v>
      </c>
      <c r="G5">
        <f>VLOOKUP(F5,选手工资!$A:$I,8,FALSE)</f>
        <v>5</v>
      </c>
      <c r="H5" t="s">
        <v>126</v>
      </c>
      <c r="I5">
        <v>4</v>
      </c>
      <c r="J5">
        <v>23</v>
      </c>
      <c r="K5">
        <v>9</v>
      </c>
      <c r="L5">
        <v>9</v>
      </c>
      <c r="M5">
        <v>30</v>
      </c>
      <c r="N5" s="1">
        <v>0.684</v>
      </c>
      <c r="O5" s="1">
        <v>0.149</v>
      </c>
      <c r="P5">
        <v>13688</v>
      </c>
      <c r="Q5">
        <v>71</v>
      </c>
      <c r="R5">
        <v>4</v>
      </c>
      <c r="S5">
        <v>422</v>
      </c>
      <c r="T5">
        <v>728</v>
      </c>
      <c r="U5">
        <v>2</v>
      </c>
      <c r="V5">
        <v>0</v>
      </c>
      <c r="W5">
        <v>0</v>
      </c>
      <c r="X5">
        <v>18284</v>
      </c>
      <c r="Y5">
        <v>1328</v>
      </c>
      <c r="Z5">
        <v>45317</v>
      </c>
      <c r="AA5" s="1">
        <v>0.397</v>
      </c>
      <c r="AB5">
        <v>1282</v>
      </c>
      <c r="AC5" s="3">
        <v>0.228472222222222</v>
      </c>
      <c r="AD5">
        <v>1</v>
      </c>
      <c r="AE5">
        <v>2127</v>
      </c>
      <c r="AF5">
        <v>5</v>
      </c>
      <c r="AG5">
        <v>1380</v>
      </c>
      <c r="AH5">
        <v>1</v>
      </c>
      <c r="AI5">
        <v>6</v>
      </c>
    </row>
    <row r="6" spans="1:35">
      <c r="A6">
        <v>260513</v>
      </c>
      <c r="B6">
        <v>4</v>
      </c>
      <c r="C6" t="s">
        <v>83</v>
      </c>
      <c r="D6" t="s">
        <v>77</v>
      </c>
      <c r="E6">
        <v>57</v>
      </c>
      <c r="F6" t="s">
        <v>31</v>
      </c>
      <c r="G6">
        <f>VLOOKUP(F6,选手工资!$A:$I,8,FALSE)</f>
        <v>4.5</v>
      </c>
      <c r="H6" t="s">
        <v>79</v>
      </c>
      <c r="I6">
        <v>5</v>
      </c>
      <c r="J6">
        <v>20</v>
      </c>
      <c r="K6">
        <v>1</v>
      </c>
      <c r="L6">
        <v>3</v>
      </c>
      <c r="M6">
        <v>21</v>
      </c>
      <c r="N6" s="1">
        <v>0.386</v>
      </c>
      <c r="O6" s="1">
        <v>0.053</v>
      </c>
      <c r="P6">
        <v>13272</v>
      </c>
      <c r="Q6">
        <v>149</v>
      </c>
      <c r="R6">
        <v>2</v>
      </c>
      <c r="S6">
        <v>357</v>
      </c>
      <c r="T6">
        <v>525</v>
      </c>
      <c r="U6">
        <v>2</v>
      </c>
      <c r="V6">
        <v>0</v>
      </c>
      <c r="W6">
        <v>0</v>
      </c>
      <c r="X6">
        <v>6515</v>
      </c>
      <c r="Y6">
        <v>154</v>
      </c>
      <c r="Z6">
        <v>11891</v>
      </c>
      <c r="AA6" s="1">
        <v>0.348</v>
      </c>
      <c r="AB6">
        <v>161</v>
      </c>
      <c r="AC6" s="3">
        <v>0.0520833333333333</v>
      </c>
      <c r="AD6">
        <v>2</v>
      </c>
      <c r="AE6">
        <v>1969</v>
      </c>
      <c r="AF6">
        <v>5</v>
      </c>
      <c r="AG6">
        <v>750</v>
      </c>
      <c r="AH6">
        <v>3</v>
      </c>
      <c r="AI6">
        <v>3</v>
      </c>
    </row>
    <row r="7" spans="1:35">
      <c r="A7">
        <v>260513</v>
      </c>
      <c r="B7">
        <v>4</v>
      </c>
      <c r="C7" t="s">
        <v>76</v>
      </c>
      <c r="D7" t="s">
        <v>84</v>
      </c>
      <c r="E7">
        <v>25</v>
      </c>
      <c r="F7" t="s">
        <v>15</v>
      </c>
      <c r="G7">
        <f>VLOOKUP(F7,选手工资!$A:$I,8,FALSE)</f>
        <v>9.5</v>
      </c>
      <c r="H7" t="s">
        <v>103</v>
      </c>
      <c r="I7">
        <v>2</v>
      </c>
      <c r="J7">
        <v>23</v>
      </c>
      <c r="K7">
        <v>7</v>
      </c>
      <c r="L7">
        <v>14</v>
      </c>
      <c r="M7">
        <v>10</v>
      </c>
      <c r="N7" s="1">
        <v>0.68</v>
      </c>
      <c r="O7" s="1">
        <v>0.257</v>
      </c>
      <c r="P7">
        <v>17336</v>
      </c>
      <c r="Q7">
        <v>231</v>
      </c>
      <c r="R7">
        <v>3</v>
      </c>
      <c r="S7">
        <v>478</v>
      </c>
      <c r="T7">
        <v>691</v>
      </c>
      <c r="U7">
        <v>1</v>
      </c>
      <c r="V7">
        <v>0</v>
      </c>
      <c r="W7">
        <v>1</v>
      </c>
      <c r="X7">
        <v>30832</v>
      </c>
      <c r="Y7">
        <v>962</v>
      </c>
      <c r="Z7">
        <v>66707</v>
      </c>
      <c r="AA7" s="1">
        <v>0.572</v>
      </c>
      <c r="AB7">
        <v>3019</v>
      </c>
      <c r="AC7" s="3">
        <v>0.409722222222222</v>
      </c>
      <c r="AD7">
        <v>7</v>
      </c>
      <c r="AE7">
        <v>3848</v>
      </c>
      <c r="AF7">
        <v>8</v>
      </c>
      <c r="AG7">
        <v>80</v>
      </c>
      <c r="AH7">
        <v>0</v>
      </c>
      <c r="AI7">
        <v>2</v>
      </c>
    </row>
    <row r="8" spans="1:35">
      <c r="A8">
        <v>260513</v>
      </c>
      <c r="B8">
        <v>4</v>
      </c>
      <c r="C8" t="s">
        <v>76</v>
      </c>
      <c r="D8" t="s">
        <v>84</v>
      </c>
      <c r="E8">
        <v>25</v>
      </c>
      <c r="F8" t="s">
        <v>19</v>
      </c>
      <c r="G8">
        <f>VLOOKUP(F8,选手工资!$A:$I,8,FALSE)</f>
        <v>8</v>
      </c>
      <c r="H8" t="s">
        <v>182</v>
      </c>
      <c r="I8">
        <v>3</v>
      </c>
      <c r="J8">
        <v>22</v>
      </c>
      <c r="K8">
        <v>8</v>
      </c>
      <c r="L8">
        <v>6</v>
      </c>
      <c r="M8">
        <v>13</v>
      </c>
      <c r="N8" s="1">
        <v>0.84</v>
      </c>
      <c r="O8" s="1">
        <v>0.28</v>
      </c>
      <c r="P8">
        <v>22097</v>
      </c>
      <c r="Q8">
        <v>314</v>
      </c>
      <c r="R8">
        <v>12</v>
      </c>
      <c r="S8">
        <v>566</v>
      </c>
      <c r="T8">
        <v>679</v>
      </c>
      <c r="U8">
        <v>2</v>
      </c>
      <c r="V8">
        <v>0</v>
      </c>
      <c r="W8">
        <v>0</v>
      </c>
      <c r="X8">
        <v>33547</v>
      </c>
      <c r="Y8">
        <v>3541</v>
      </c>
      <c r="Z8">
        <v>61148</v>
      </c>
      <c r="AA8" s="1">
        <v>0.483</v>
      </c>
      <c r="AB8">
        <v>1590</v>
      </c>
      <c r="AC8" s="3">
        <v>0.194444444444444</v>
      </c>
      <c r="AD8">
        <v>10</v>
      </c>
      <c r="AE8">
        <v>4222</v>
      </c>
      <c r="AF8">
        <v>7</v>
      </c>
      <c r="AG8">
        <v>160</v>
      </c>
      <c r="AH8">
        <v>1</v>
      </c>
      <c r="AI8">
        <v>0</v>
      </c>
    </row>
    <row r="9" spans="1:35">
      <c r="A9">
        <v>260513</v>
      </c>
      <c r="B9">
        <v>4</v>
      </c>
      <c r="C9" t="s">
        <v>76</v>
      </c>
      <c r="D9" t="s">
        <v>84</v>
      </c>
      <c r="E9">
        <v>25</v>
      </c>
      <c r="F9" t="s">
        <v>30</v>
      </c>
      <c r="G9">
        <f>VLOOKUP(F9,选手工资!$A:$I,8,FALSE)</f>
        <v>4.5</v>
      </c>
      <c r="H9" t="s">
        <v>110</v>
      </c>
      <c r="I9">
        <v>1</v>
      </c>
      <c r="J9">
        <v>23</v>
      </c>
      <c r="K9">
        <v>4</v>
      </c>
      <c r="L9">
        <v>9</v>
      </c>
      <c r="M9">
        <v>9</v>
      </c>
      <c r="N9" s="1">
        <v>0.52</v>
      </c>
      <c r="O9" s="1">
        <v>0.28</v>
      </c>
      <c r="P9">
        <v>19855</v>
      </c>
      <c r="Q9">
        <v>341</v>
      </c>
      <c r="R9">
        <v>10</v>
      </c>
      <c r="S9">
        <v>530</v>
      </c>
      <c r="T9">
        <v>723</v>
      </c>
      <c r="U9">
        <v>5</v>
      </c>
      <c r="V9">
        <v>0</v>
      </c>
      <c r="W9">
        <v>0</v>
      </c>
      <c r="X9">
        <v>33497</v>
      </c>
      <c r="Y9">
        <v>91</v>
      </c>
      <c r="Z9">
        <v>45703</v>
      </c>
      <c r="AA9" s="1">
        <v>0.558</v>
      </c>
      <c r="AB9">
        <v>2298</v>
      </c>
      <c r="AC9" s="3">
        <v>0.329166666666667</v>
      </c>
      <c r="AD9">
        <v>8</v>
      </c>
      <c r="AE9">
        <v>3955</v>
      </c>
      <c r="AF9">
        <v>6</v>
      </c>
      <c r="AG9">
        <v>0</v>
      </c>
      <c r="AH9">
        <v>2</v>
      </c>
      <c r="AI9">
        <v>0</v>
      </c>
    </row>
    <row r="10" spans="1:35">
      <c r="A10">
        <v>260513</v>
      </c>
      <c r="B10">
        <v>4</v>
      </c>
      <c r="C10" t="s">
        <v>76</v>
      </c>
      <c r="D10" t="s">
        <v>84</v>
      </c>
      <c r="E10">
        <v>25</v>
      </c>
      <c r="F10" t="s">
        <v>41</v>
      </c>
      <c r="G10">
        <f>VLOOKUP(F10,选手工资!$A:$I,8,FALSE)</f>
        <v>1.5</v>
      </c>
      <c r="H10" t="s">
        <v>184</v>
      </c>
      <c r="I10">
        <v>5</v>
      </c>
      <c r="J10">
        <v>14</v>
      </c>
      <c r="K10">
        <v>2</v>
      </c>
      <c r="L10">
        <v>11</v>
      </c>
      <c r="M10">
        <v>12</v>
      </c>
      <c r="N10" s="1">
        <v>0.56</v>
      </c>
      <c r="O10" s="1">
        <v>0.082</v>
      </c>
      <c r="P10">
        <v>9505</v>
      </c>
      <c r="Q10">
        <v>27</v>
      </c>
      <c r="R10">
        <v>0</v>
      </c>
      <c r="S10">
        <v>279</v>
      </c>
      <c r="T10">
        <v>294</v>
      </c>
      <c r="U10">
        <v>0</v>
      </c>
      <c r="V10">
        <v>2831</v>
      </c>
      <c r="W10">
        <v>0</v>
      </c>
      <c r="X10">
        <v>9829</v>
      </c>
      <c r="Y10">
        <v>127</v>
      </c>
      <c r="Z10">
        <v>22343</v>
      </c>
      <c r="AA10" s="1">
        <v>0.341</v>
      </c>
      <c r="AB10">
        <v>842</v>
      </c>
      <c r="AC10" s="3">
        <v>0.234722222222222</v>
      </c>
      <c r="AD10">
        <v>3</v>
      </c>
      <c r="AE10">
        <v>2434</v>
      </c>
      <c r="AF10">
        <v>6</v>
      </c>
      <c r="AG10">
        <v>450</v>
      </c>
      <c r="AH10">
        <v>3</v>
      </c>
      <c r="AI10">
        <v>2</v>
      </c>
    </row>
    <row r="11" spans="1:35">
      <c r="A11">
        <v>260513</v>
      </c>
      <c r="B11">
        <v>4</v>
      </c>
      <c r="C11" t="s">
        <v>76</v>
      </c>
      <c r="D11" t="s">
        <v>84</v>
      </c>
      <c r="E11">
        <v>25</v>
      </c>
      <c r="F11" t="s">
        <v>14</v>
      </c>
      <c r="G11">
        <f>VLOOKUP(F11,选手工资!$A:$I,8,FALSE)</f>
        <v>8.5</v>
      </c>
      <c r="H11" t="s">
        <v>98</v>
      </c>
      <c r="I11">
        <v>4</v>
      </c>
      <c r="J11">
        <v>17</v>
      </c>
      <c r="K11">
        <v>4</v>
      </c>
      <c r="L11">
        <v>18</v>
      </c>
      <c r="M11">
        <v>13</v>
      </c>
      <c r="N11" s="1">
        <v>0.68</v>
      </c>
      <c r="O11" s="1">
        <v>0.101</v>
      </c>
      <c r="P11">
        <v>10738</v>
      </c>
      <c r="Q11">
        <v>31</v>
      </c>
      <c r="R11">
        <v>2</v>
      </c>
      <c r="S11">
        <v>294</v>
      </c>
      <c r="T11">
        <v>409</v>
      </c>
      <c r="U11">
        <v>2</v>
      </c>
      <c r="V11">
        <v>0</v>
      </c>
      <c r="W11">
        <v>1</v>
      </c>
      <c r="X11">
        <v>12047</v>
      </c>
      <c r="Y11">
        <v>87</v>
      </c>
      <c r="Z11">
        <v>40866</v>
      </c>
      <c r="AA11" s="1">
        <v>0.324</v>
      </c>
      <c r="AB11">
        <v>1523</v>
      </c>
      <c r="AC11" s="3">
        <v>0.479861111111111</v>
      </c>
      <c r="AD11">
        <v>4</v>
      </c>
      <c r="AE11">
        <v>2016</v>
      </c>
      <c r="AF11">
        <v>6</v>
      </c>
      <c r="AG11">
        <v>700</v>
      </c>
      <c r="AH11">
        <v>1</v>
      </c>
      <c r="AI11">
        <v>8</v>
      </c>
    </row>
    <row r="14" spans="1:35">
      <c r="A14" t="s">
        <v>90</v>
      </c>
      <c r="B14" s="4">
        <v>8809524624</v>
      </c>
      <c r="C14" s="4"/>
    </row>
    <row r="15" spans="1:35">
      <c r="A15" t="s">
        <v>91</v>
      </c>
      <c r="B15" s="7" t="s">
        <v>201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Z2" activePane="bottomRight" state="frozen"/>
      <selection/>
      <selection pane="topRight"/>
      <selection pane="bottomLeft"/>
      <selection pane="bottomRight" activeCell="C3" sqref="A2:AI11"/>
    </sheetView>
  </sheetViews>
  <sheetFormatPr defaultColWidth="9.25" defaultRowHeight="16.8"/>
  <cols>
    <col min="6" max="6" width="22.5" customWidth="1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260514</v>
      </c>
      <c r="B2">
        <v>1</v>
      </c>
      <c r="C2" t="s">
        <v>83</v>
      </c>
      <c r="D2" t="s">
        <v>77</v>
      </c>
      <c r="E2">
        <v>51</v>
      </c>
      <c r="F2" t="s">
        <v>14</v>
      </c>
      <c r="G2">
        <f>VLOOKUP(F2,选手工资!$A:$I,9,FALSE)</f>
        <v>9</v>
      </c>
      <c r="H2" t="s">
        <v>103</v>
      </c>
      <c r="I2">
        <v>2</v>
      </c>
      <c r="J2">
        <v>25</v>
      </c>
      <c r="K2">
        <v>12</v>
      </c>
      <c r="L2">
        <v>3</v>
      </c>
      <c r="M2">
        <v>25</v>
      </c>
      <c r="N2" s="1">
        <v>0.725</v>
      </c>
      <c r="O2" s="1">
        <v>0.282</v>
      </c>
      <c r="P2">
        <v>22535</v>
      </c>
      <c r="Q2">
        <v>222</v>
      </c>
      <c r="R2">
        <v>11</v>
      </c>
      <c r="S2">
        <v>622</v>
      </c>
      <c r="T2">
        <v>971</v>
      </c>
      <c r="U2">
        <v>1</v>
      </c>
      <c r="V2">
        <v>430</v>
      </c>
      <c r="W2">
        <v>0</v>
      </c>
      <c r="X2">
        <v>45114</v>
      </c>
      <c r="Y2">
        <v>4110</v>
      </c>
      <c r="Z2">
        <v>50139</v>
      </c>
      <c r="AA2" s="1">
        <v>0.542</v>
      </c>
      <c r="AB2">
        <v>573</v>
      </c>
      <c r="AC2" s="3">
        <v>0.0868055555555556</v>
      </c>
      <c r="AD2">
        <v>9</v>
      </c>
      <c r="AE2">
        <v>3390</v>
      </c>
      <c r="AF2">
        <v>8</v>
      </c>
      <c r="AG2">
        <v>80</v>
      </c>
      <c r="AH2">
        <v>1</v>
      </c>
      <c r="AI2">
        <v>1</v>
      </c>
    </row>
    <row r="3" spans="1:35">
      <c r="A3">
        <v>260514</v>
      </c>
      <c r="B3">
        <v>1</v>
      </c>
      <c r="C3" t="s">
        <v>83</v>
      </c>
      <c r="D3" t="s">
        <v>77</v>
      </c>
      <c r="E3">
        <v>51</v>
      </c>
      <c r="F3" t="s">
        <v>41</v>
      </c>
      <c r="G3">
        <f>VLOOKUP(F3,选手工资!$A:$I,9,FALSE)</f>
        <v>2</v>
      </c>
      <c r="H3" t="s">
        <v>167</v>
      </c>
      <c r="I3">
        <v>5</v>
      </c>
      <c r="J3">
        <v>20</v>
      </c>
      <c r="K3">
        <v>11</v>
      </c>
      <c r="L3">
        <v>6</v>
      </c>
      <c r="M3">
        <v>27</v>
      </c>
      <c r="N3" s="1">
        <v>0.745</v>
      </c>
      <c r="O3" s="1">
        <v>0.187</v>
      </c>
      <c r="P3">
        <v>15072</v>
      </c>
      <c r="Q3">
        <v>33</v>
      </c>
      <c r="R3">
        <v>2</v>
      </c>
      <c r="S3">
        <v>439</v>
      </c>
      <c r="T3">
        <v>608</v>
      </c>
      <c r="U3">
        <v>3</v>
      </c>
      <c r="V3">
        <v>15110</v>
      </c>
      <c r="W3">
        <v>1</v>
      </c>
      <c r="X3">
        <v>30022</v>
      </c>
      <c r="Y3">
        <v>997</v>
      </c>
      <c r="Z3">
        <v>24899</v>
      </c>
      <c r="AA3" s="1">
        <v>0.376</v>
      </c>
      <c r="AB3">
        <v>381</v>
      </c>
      <c r="AC3" s="3">
        <v>0.15625</v>
      </c>
      <c r="AD3">
        <v>2</v>
      </c>
      <c r="AE3">
        <v>2597</v>
      </c>
      <c r="AF3">
        <v>8</v>
      </c>
      <c r="AG3">
        <v>1690</v>
      </c>
      <c r="AH3">
        <v>0</v>
      </c>
      <c r="AI3">
        <v>3</v>
      </c>
    </row>
    <row r="4" spans="1:35">
      <c r="A4">
        <v>260514</v>
      </c>
      <c r="B4">
        <v>1</v>
      </c>
      <c r="C4" t="s">
        <v>83</v>
      </c>
      <c r="D4" t="s">
        <v>77</v>
      </c>
      <c r="E4">
        <v>51</v>
      </c>
      <c r="F4" t="s">
        <v>17</v>
      </c>
      <c r="G4">
        <f>VLOOKUP(F4,选手工资!$A:$I,9,FALSE)</f>
        <v>7</v>
      </c>
      <c r="H4" t="s">
        <v>177</v>
      </c>
      <c r="I4">
        <v>3</v>
      </c>
      <c r="J4">
        <v>24</v>
      </c>
      <c r="K4">
        <v>8</v>
      </c>
      <c r="L4">
        <v>8</v>
      </c>
      <c r="M4">
        <v>27</v>
      </c>
      <c r="N4" s="1">
        <v>0.686</v>
      </c>
      <c r="O4" s="1">
        <v>0.176</v>
      </c>
      <c r="P4">
        <v>21263</v>
      </c>
      <c r="Q4">
        <v>211</v>
      </c>
      <c r="R4">
        <v>8</v>
      </c>
      <c r="S4">
        <v>613</v>
      </c>
      <c r="T4">
        <v>912</v>
      </c>
      <c r="U4">
        <v>0</v>
      </c>
      <c r="V4">
        <v>0</v>
      </c>
      <c r="W4">
        <v>0</v>
      </c>
      <c r="X4">
        <v>28196</v>
      </c>
      <c r="Y4">
        <v>8823</v>
      </c>
      <c r="Z4">
        <v>46527</v>
      </c>
      <c r="AA4" s="1">
        <v>0.339</v>
      </c>
      <c r="AB4">
        <v>1201</v>
      </c>
      <c r="AC4" s="3">
        <v>0.190277777777778</v>
      </c>
      <c r="AD4">
        <v>5</v>
      </c>
      <c r="AE4">
        <v>4283</v>
      </c>
      <c r="AF4">
        <v>6</v>
      </c>
      <c r="AG4">
        <v>150</v>
      </c>
      <c r="AH4">
        <v>0</v>
      </c>
      <c r="AI4">
        <v>3</v>
      </c>
    </row>
    <row r="5" spans="1:35">
      <c r="A5">
        <v>260514</v>
      </c>
      <c r="B5">
        <v>1</v>
      </c>
      <c r="C5" t="s">
        <v>83</v>
      </c>
      <c r="D5" t="s">
        <v>77</v>
      </c>
      <c r="E5">
        <v>51</v>
      </c>
      <c r="F5" t="s">
        <v>18</v>
      </c>
      <c r="G5">
        <f>VLOOKUP(F5,选手工资!$A:$I,9,FALSE)</f>
        <v>6.5</v>
      </c>
      <c r="H5" t="s">
        <v>81</v>
      </c>
      <c r="I5">
        <v>1</v>
      </c>
      <c r="J5">
        <v>24</v>
      </c>
      <c r="K5">
        <v>14</v>
      </c>
      <c r="L5">
        <v>8</v>
      </c>
      <c r="M5">
        <v>19</v>
      </c>
      <c r="N5" s="1">
        <v>0.647</v>
      </c>
      <c r="O5" s="1">
        <v>0.229</v>
      </c>
      <c r="P5">
        <v>23041</v>
      </c>
      <c r="Q5">
        <v>283</v>
      </c>
      <c r="R5">
        <v>16</v>
      </c>
      <c r="S5">
        <v>646</v>
      </c>
      <c r="T5">
        <v>902</v>
      </c>
      <c r="U5">
        <v>1</v>
      </c>
      <c r="V5">
        <v>0</v>
      </c>
      <c r="W5">
        <v>1</v>
      </c>
      <c r="X5">
        <v>36674</v>
      </c>
      <c r="Y5">
        <v>13356</v>
      </c>
      <c r="Z5">
        <v>49903</v>
      </c>
      <c r="AA5" s="1">
        <v>0.372</v>
      </c>
      <c r="AB5">
        <v>1131</v>
      </c>
      <c r="AC5" s="3">
        <v>0.191666666666667</v>
      </c>
      <c r="AD5">
        <v>6</v>
      </c>
      <c r="AE5">
        <v>3769</v>
      </c>
      <c r="AF5">
        <v>6</v>
      </c>
      <c r="AG5">
        <v>0</v>
      </c>
      <c r="AH5">
        <v>0</v>
      </c>
      <c r="AI5">
        <v>0</v>
      </c>
    </row>
    <row r="6" spans="1:35">
      <c r="A6">
        <v>260514</v>
      </c>
      <c r="B6">
        <v>1</v>
      </c>
      <c r="C6" t="s">
        <v>83</v>
      </c>
      <c r="D6" t="s">
        <v>77</v>
      </c>
      <c r="E6">
        <v>51</v>
      </c>
      <c r="F6" t="s">
        <v>22</v>
      </c>
      <c r="G6">
        <f>VLOOKUP(F6,选手工资!$A:$I,9,FALSE)</f>
        <v>6</v>
      </c>
      <c r="H6" t="s">
        <v>140</v>
      </c>
      <c r="I6">
        <v>4</v>
      </c>
      <c r="J6">
        <v>20</v>
      </c>
      <c r="K6">
        <v>6</v>
      </c>
      <c r="L6">
        <v>10</v>
      </c>
      <c r="M6">
        <v>31</v>
      </c>
      <c r="N6" s="1">
        <v>0.725</v>
      </c>
      <c r="O6" s="1">
        <v>0.126</v>
      </c>
      <c r="P6">
        <v>14246</v>
      </c>
      <c r="Q6">
        <v>55</v>
      </c>
      <c r="R6">
        <v>1</v>
      </c>
      <c r="S6">
        <v>370</v>
      </c>
      <c r="T6">
        <v>596</v>
      </c>
      <c r="U6">
        <v>0</v>
      </c>
      <c r="V6">
        <v>260</v>
      </c>
      <c r="W6">
        <v>0</v>
      </c>
      <c r="X6">
        <v>20229</v>
      </c>
      <c r="Y6">
        <v>1676</v>
      </c>
      <c r="Z6">
        <v>32738</v>
      </c>
      <c r="AA6" s="1">
        <v>0.432</v>
      </c>
      <c r="AB6">
        <v>671</v>
      </c>
      <c r="AC6" s="3">
        <v>0.205555555555556</v>
      </c>
      <c r="AD6">
        <v>1</v>
      </c>
      <c r="AE6">
        <v>2253</v>
      </c>
      <c r="AF6">
        <v>5</v>
      </c>
      <c r="AG6">
        <v>720</v>
      </c>
      <c r="AH6">
        <v>1</v>
      </c>
      <c r="AI6">
        <v>1</v>
      </c>
    </row>
    <row r="7" spans="1:35">
      <c r="A7">
        <v>260514</v>
      </c>
      <c r="B7">
        <v>1</v>
      </c>
      <c r="C7" t="s">
        <v>76</v>
      </c>
      <c r="D7" t="s">
        <v>84</v>
      </c>
      <c r="E7">
        <v>35</v>
      </c>
      <c r="F7" t="s">
        <v>30</v>
      </c>
      <c r="G7">
        <f>VLOOKUP(F7,选手工资!$A:$I,9,FALSE)</f>
        <v>4</v>
      </c>
      <c r="H7" t="s">
        <v>115</v>
      </c>
      <c r="I7">
        <v>2</v>
      </c>
      <c r="J7">
        <v>20</v>
      </c>
      <c r="K7">
        <v>7</v>
      </c>
      <c r="L7">
        <v>8</v>
      </c>
      <c r="M7">
        <v>15</v>
      </c>
      <c r="N7" s="1">
        <v>0.629</v>
      </c>
      <c r="O7" s="1">
        <v>0.28</v>
      </c>
      <c r="P7">
        <v>15618</v>
      </c>
      <c r="Q7">
        <v>241</v>
      </c>
      <c r="R7">
        <v>19</v>
      </c>
      <c r="S7">
        <v>501</v>
      </c>
      <c r="T7">
        <v>594</v>
      </c>
      <c r="U7">
        <v>0</v>
      </c>
      <c r="V7">
        <v>0</v>
      </c>
      <c r="W7">
        <v>0</v>
      </c>
      <c r="X7">
        <v>33338</v>
      </c>
      <c r="Y7">
        <v>1027</v>
      </c>
      <c r="Z7">
        <v>44066</v>
      </c>
      <c r="AA7" s="1">
        <v>0.35</v>
      </c>
      <c r="AB7">
        <v>2293</v>
      </c>
      <c r="AC7" s="3">
        <v>0.302777777777778</v>
      </c>
      <c r="AD7">
        <v>10</v>
      </c>
      <c r="AE7">
        <v>3962</v>
      </c>
      <c r="AF7">
        <v>8</v>
      </c>
      <c r="AG7">
        <v>130</v>
      </c>
      <c r="AH7">
        <v>0</v>
      </c>
      <c r="AI7">
        <v>1</v>
      </c>
    </row>
    <row r="8" spans="1:35">
      <c r="A8">
        <v>260514</v>
      </c>
      <c r="B8">
        <v>1</v>
      </c>
      <c r="C8" t="s">
        <v>76</v>
      </c>
      <c r="D8" t="s">
        <v>84</v>
      </c>
      <c r="E8">
        <v>35</v>
      </c>
      <c r="F8" t="s">
        <v>36</v>
      </c>
      <c r="G8">
        <f>VLOOKUP(F8,选手工资!$A:$I,9,FALSE)</f>
        <v>3.5</v>
      </c>
      <c r="H8" t="s">
        <v>202</v>
      </c>
      <c r="I8">
        <v>3</v>
      </c>
      <c r="J8">
        <v>19</v>
      </c>
      <c r="K8">
        <v>12</v>
      </c>
      <c r="L8">
        <v>9</v>
      </c>
      <c r="M8">
        <v>13</v>
      </c>
      <c r="N8" s="1">
        <v>0.714</v>
      </c>
      <c r="O8" s="1">
        <v>0.27</v>
      </c>
      <c r="P8">
        <v>14020</v>
      </c>
      <c r="Q8">
        <v>158</v>
      </c>
      <c r="R8">
        <v>16</v>
      </c>
      <c r="S8">
        <v>417</v>
      </c>
      <c r="T8">
        <v>548</v>
      </c>
      <c r="U8">
        <v>1</v>
      </c>
      <c r="V8">
        <v>0</v>
      </c>
      <c r="W8">
        <v>0</v>
      </c>
      <c r="X8">
        <v>32139</v>
      </c>
      <c r="Y8">
        <v>852</v>
      </c>
      <c r="Z8">
        <v>60774</v>
      </c>
      <c r="AA8" s="1">
        <v>0.385</v>
      </c>
      <c r="AB8">
        <v>1467</v>
      </c>
      <c r="AC8" s="3">
        <v>0.308333333333333</v>
      </c>
      <c r="AD8">
        <v>8</v>
      </c>
      <c r="AE8">
        <v>4975</v>
      </c>
      <c r="AF8">
        <v>7</v>
      </c>
      <c r="AG8">
        <v>0</v>
      </c>
      <c r="AH8">
        <v>2</v>
      </c>
      <c r="AI8">
        <v>0</v>
      </c>
    </row>
    <row r="9" spans="1:35">
      <c r="A9">
        <v>260514</v>
      </c>
      <c r="B9">
        <v>1</v>
      </c>
      <c r="C9" t="s">
        <v>76</v>
      </c>
      <c r="D9" t="s">
        <v>84</v>
      </c>
      <c r="E9">
        <v>35</v>
      </c>
      <c r="F9" t="s">
        <v>13</v>
      </c>
      <c r="G9">
        <f>VLOOKUP(F9,选手工资!$A:$I,9,FALSE)</f>
        <v>11</v>
      </c>
      <c r="H9" t="s">
        <v>82</v>
      </c>
      <c r="I9">
        <v>1</v>
      </c>
      <c r="J9">
        <v>23</v>
      </c>
      <c r="K9">
        <v>6</v>
      </c>
      <c r="L9">
        <v>11</v>
      </c>
      <c r="M9">
        <v>11</v>
      </c>
      <c r="N9" s="1">
        <v>0.486</v>
      </c>
      <c r="O9" s="1">
        <v>0.196</v>
      </c>
      <c r="P9">
        <v>16639</v>
      </c>
      <c r="Q9">
        <v>343</v>
      </c>
      <c r="R9">
        <v>10</v>
      </c>
      <c r="S9">
        <v>554</v>
      </c>
      <c r="T9">
        <v>805</v>
      </c>
      <c r="U9">
        <v>7</v>
      </c>
      <c r="V9">
        <v>0</v>
      </c>
      <c r="W9">
        <v>0</v>
      </c>
      <c r="X9">
        <v>23328</v>
      </c>
      <c r="Y9">
        <v>152</v>
      </c>
      <c r="Z9">
        <v>73293</v>
      </c>
      <c r="AA9" s="1">
        <v>0.409</v>
      </c>
      <c r="AB9">
        <v>2059</v>
      </c>
      <c r="AC9" s="3">
        <v>0.298611111111111</v>
      </c>
      <c r="AD9">
        <v>7</v>
      </c>
      <c r="AE9">
        <v>4136</v>
      </c>
      <c r="AF9">
        <v>7</v>
      </c>
      <c r="AG9">
        <v>0</v>
      </c>
      <c r="AH9">
        <v>1</v>
      </c>
      <c r="AI9">
        <v>0</v>
      </c>
    </row>
    <row r="10" spans="1:35">
      <c r="A10">
        <v>260514</v>
      </c>
      <c r="B10">
        <v>1</v>
      </c>
      <c r="C10" t="s">
        <v>76</v>
      </c>
      <c r="D10" t="s">
        <v>84</v>
      </c>
      <c r="E10">
        <v>35</v>
      </c>
      <c r="F10" t="s">
        <v>31</v>
      </c>
      <c r="G10">
        <f>VLOOKUP(F10,选手工资!$A:$I,9,FALSE)</f>
        <v>5.5</v>
      </c>
      <c r="H10" t="s">
        <v>180</v>
      </c>
      <c r="I10">
        <v>4</v>
      </c>
      <c r="J10">
        <v>18</v>
      </c>
      <c r="K10">
        <v>4</v>
      </c>
      <c r="L10">
        <v>11</v>
      </c>
      <c r="M10">
        <v>13</v>
      </c>
      <c r="N10" s="1">
        <v>0.486</v>
      </c>
      <c r="O10" s="1">
        <v>0.141</v>
      </c>
      <c r="P10">
        <v>8705</v>
      </c>
      <c r="Q10">
        <v>118</v>
      </c>
      <c r="R10">
        <v>5</v>
      </c>
      <c r="S10">
        <v>326</v>
      </c>
      <c r="T10">
        <v>486</v>
      </c>
      <c r="U10">
        <v>3</v>
      </c>
      <c r="V10">
        <v>886</v>
      </c>
      <c r="W10">
        <v>0</v>
      </c>
      <c r="X10">
        <v>16853</v>
      </c>
      <c r="Y10">
        <v>226</v>
      </c>
      <c r="Z10">
        <v>43175</v>
      </c>
      <c r="AA10" s="1">
        <v>0.514</v>
      </c>
      <c r="AB10">
        <v>1163</v>
      </c>
      <c r="AC10" s="3">
        <v>0.229166666666667</v>
      </c>
      <c r="AD10">
        <v>3</v>
      </c>
      <c r="AE10">
        <v>2020</v>
      </c>
      <c r="AF10">
        <v>5</v>
      </c>
      <c r="AG10">
        <v>990</v>
      </c>
      <c r="AH10">
        <v>0</v>
      </c>
      <c r="AI10">
        <v>0</v>
      </c>
    </row>
    <row r="11" spans="1:35">
      <c r="A11">
        <v>260514</v>
      </c>
      <c r="B11">
        <v>1</v>
      </c>
      <c r="C11" t="s">
        <v>76</v>
      </c>
      <c r="D11" t="s">
        <v>84</v>
      </c>
      <c r="E11">
        <v>35</v>
      </c>
      <c r="F11" t="s">
        <v>20</v>
      </c>
      <c r="G11">
        <f>VLOOKUP(F11,选手工资!$A:$I,9,FALSE)</f>
        <v>7</v>
      </c>
      <c r="H11" t="s">
        <v>126</v>
      </c>
      <c r="I11">
        <v>5</v>
      </c>
      <c r="J11">
        <v>17</v>
      </c>
      <c r="K11">
        <v>4</v>
      </c>
      <c r="L11">
        <v>12</v>
      </c>
      <c r="M11">
        <v>22</v>
      </c>
      <c r="N11" s="1">
        <v>0.743</v>
      </c>
      <c r="O11" s="1">
        <v>0.113</v>
      </c>
      <c r="P11">
        <v>9425</v>
      </c>
      <c r="Q11">
        <v>86</v>
      </c>
      <c r="R11">
        <v>1</v>
      </c>
      <c r="S11">
        <v>328</v>
      </c>
      <c r="T11">
        <v>464</v>
      </c>
      <c r="U11">
        <v>4</v>
      </c>
      <c r="V11">
        <v>237</v>
      </c>
      <c r="W11">
        <v>0</v>
      </c>
      <c r="X11">
        <v>13501</v>
      </c>
      <c r="Y11">
        <v>150</v>
      </c>
      <c r="Z11">
        <v>46579</v>
      </c>
      <c r="AA11" s="1">
        <v>0.358</v>
      </c>
      <c r="AB11">
        <v>1539</v>
      </c>
      <c r="AC11" s="3">
        <v>0.313194444444444</v>
      </c>
      <c r="AD11">
        <v>4</v>
      </c>
      <c r="AE11">
        <v>2377</v>
      </c>
      <c r="AF11">
        <v>5</v>
      </c>
      <c r="AG11">
        <v>840</v>
      </c>
      <c r="AH11">
        <v>0</v>
      </c>
      <c r="AI11">
        <v>3</v>
      </c>
    </row>
    <row r="14" spans="1:35">
      <c r="A14" t="s">
        <v>90</v>
      </c>
      <c r="B14" s="4">
        <v>8810559331</v>
      </c>
      <c r="C14" s="4"/>
    </row>
    <row r="15" spans="1:35">
      <c r="A15" t="s">
        <v>91</v>
      </c>
      <c r="B15" s="7" t="s">
        <v>203</v>
      </c>
    </row>
  </sheetData>
  <sortState ref="A2:AI11">
    <sortCondition ref="C3"/>
  </sortState>
  <mergeCells count="1">
    <mergeCell ref="B14:C14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C3" sqref="A2:AI11"/>
    </sheetView>
  </sheetViews>
  <sheetFormatPr defaultColWidth="9.25" defaultRowHeight="16.8"/>
  <cols>
    <col min="6" max="6" width="8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260514</v>
      </c>
      <c r="B2">
        <v>2</v>
      </c>
      <c r="C2" t="s">
        <v>83</v>
      </c>
      <c r="D2" t="s">
        <v>77</v>
      </c>
      <c r="E2">
        <v>43</v>
      </c>
      <c r="F2" t="s">
        <v>30</v>
      </c>
      <c r="G2">
        <f>VLOOKUP(F2,选手工资!$A:$I,9,FALSE)</f>
        <v>4</v>
      </c>
      <c r="H2" t="s">
        <v>204</v>
      </c>
      <c r="I2">
        <v>1</v>
      </c>
      <c r="J2">
        <v>23</v>
      </c>
      <c r="K2">
        <v>19</v>
      </c>
      <c r="L2">
        <v>2</v>
      </c>
      <c r="M2">
        <v>10</v>
      </c>
      <c r="N2" s="1">
        <v>0.674</v>
      </c>
      <c r="O2" s="1">
        <v>0.385</v>
      </c>
      <c r="P2">
        <v>28132</v>
      </c>
      <c r="Q2">
        <v>390</v>
      </c>
      <c r="R2">
        <v>20</v>
      </c>
      <c r="S2">
        <v>776</v>
      </c>
      <c r="T2">
        <v>773</v>
      </c>
      <c r="U2">
        <v>2</v>
      </c>
      <c r="V2">
        <v>0</v>
      </c>
      <c r="W2">
        <v>1</v>
      </c>
      <c r="X2">
        <v>33965</v>
      </c>
      <c r="Y2">
        <v>22716</v>
      </c>
      <c r="Z2">
        <v>41333</v>
      </c>
      <c r="AA2" s="1">
        <v>0.572</v>
      </c>
      <c r="AB2">
        <v>761</v>
      </c>
      <c r="AC2" s="3">
        <v>0.08125</v>
      </c>
      <c r="AD2">
        <v>6</v>
      </c>
      <c r="AE2">
        <v>5623</v>
      </c>
      <c r="AF2">
        <v>8</v>
      </c>
      <c r="AG2">
        <v>0</v>
      </c>
      <c r="AH2">
        <v>0</v>
      </c>
      <c r="AI2">
        <v>2</v>
      </c>
    </row>
    <row r="3" spans="1:35">
      <c r="A3">
        <v>260514</v>
      </c>
      <c r="B3">
        <v>2</v>
      </c>
      <c r="C3" t="s">
        <v>83</v>
      </c>
      <c r="D3" t="s">
        <v>77</v>
      </c>
      <c r="E3">
        <v>43</v>
      </c>
      <c r="F3" t="s">
        <v>18</v>
      </c>
      <c r="G3">
        <f>VLOOKUP(F3,选手工资!$A:$I,9,FALSE)</f>
        <v>6.5</v>
      </c>
      <c r="H3" t="s">
        <v>205</v>
      </c>
      <c r="I3">
        <v>5</v>
      </c>
      <c r="J3">
        <v>20</v>
      </c>
      <c r="K3">
        <v>3</v>
      </c>
      <c r="L3">
        <v>6</v>
      </c>
      <c r="M3">
        <v>22</v>
      </c>
      <c r="N3" s="1">
        <v>0.581</v>
      </c>
      <c r="O3" s="1">
        <v>0.065</v>
      </c>
      <c r="P3">
        <v>10081</v>
      </c>
      <c r="Q3">
        <v>33</v>
      </c>
      <c r="R3">
        <v>3</v>
      </c>
      <c r="S3">
        <v>297</v>
      </c>
      <c r="T3">
        <v>585</v>
      </c>
      <c r="U3">
        <v>1</v>
      </c>
      <c r="V3">
        <v>16917</v>
      </c>
      <c r="W3">
        <v>2</v>
      </c>
      <c r="X3">
        <v>5751</v>
      </c>
      <c r="Y3">
        <v>0</v>
      </c>
      <c r="Z3">
        <v>17809</v>
      </c>
      <c r="AA3" s="1">
        <v>0.4</v>
      </c>
      <c r="AB3">
        <v>545</v>
      </c>
      <c r="AC3" s="3">
        <v>0.143055555555556</v>
      </c>
      <c r="AD3">
        <v>1</v>
      </c>
      <c r="AE3">
        <v>2117</v>
      </c>
      <c r="AF3">
        <v>5</v>
      </c>
      <c r="AG3">
        <v>680</v>
      </c>
      <c r="AH3">
        <v>1</v>
      </c>
      <c r="AI3">
        <v>9</v>
      </c>
    </row>
    <row r="4" spans="1:35">
      <c r="A4">
        <v>260514</v>
      </c>
      <c r="B4">
        <v>2</v>
      </c>
      <c r="C4" t="s">
        <v>83</v>
      </c>
      <c r="D4" t="s">
        <v>77</v>
      </c>
      <c r="E4">
        <v>43</v>
      </c>
      <c r="F4" t="s">
        <v>17</v>
      </c>
      <c r="G4">
        <f>VLOOKUP(F4,选手工资!$A:$I,9,FALSE)</f>
        <v>7</v>
      </c>
      <c r="H4" t="s">
        <v>177</v>
      </c>
      <c r="I4">
        <v>3</v>
      </c>
      <c r="J4">
        <v>21</v>
      </c>
      <c r="K4">
        <v>6</v>
      </c>
      <c r="L4">
        <v>3</v>
      </c>
      <c r="M4">
        <v>21</v>
      </c>
      <c r="N4" s="1">
        <v>0.628</v>
      </c>
      <c r="O4" s="1">
        <v>0.226</v>
      </c>
      <c r="P4">
        <v>22664</v>
      </c>
      <c r="Q4">
        <v>288</v>
      </c>
      <c r="R4">
        <v>34</v>
      </c>
      <c r="S4">
        <v>641</v>
      </c>
      <c r="T4">
        <v>690</v>
      </c>
      <c r="U4">
        <v>0</v>
      </c>
      <c r="V4">
        <v>0</v>
      </c>
      <c r="W4">
        <v>0</v>
      </c>
      <c r="X4">
        <v>19930</v>
      </c>
      <c r="Y4">
        <v>1469</v>
      </c>
      <c r="Z4">
        <v>38281</v>
      </c>
      <c r="AA4" s="1">
        <v>0.409</v>
      </c>
      <c r="AB4">
        <v>574</v>
      </c>
      <c r="AC4" s="3">
        <v>0.102777777777778</v>
      </c>
      <c r="AD4">
        <v>5</v>
      </c>
      <c r="AE4">
        <v>4724</v>
      </c>
      <c r="AF4">
        <v>7</v>
      </c>
      <c r="AG4">
        <v>0</v>
      </c>
      <c r="AH4">
        <v>2</v>
      </c>
      <c r="AI4">
        <v>1</v>
      </c>
    </row>
    <row r="5" spans="1:35">
      <c r="A5">
        <v>260514</v>
      </c>
      <c r="B5">
        <v>2</v>
      </c>
      <c r="C5" t="s">
        <v>83</v>
      </c>
      <c r="D5" t="s">
        <v>77</v>
      </c>
      <c r="E5">
        <v>43</v>
      </c>
      <c r="F5" t="s">
        <v>14</v>
      </c>
      <c r="G5">
        <f>VLOOKUP(F5,选手工资!$A:$I,9,FALSE)</f>
        <v>9</v>
      </c>
      <c r="H5" t="s">
        <v>98</v>
      </c>
      <c r="I5">
        <v>4</v>
      </c>
      <c r="J5">
        <v>19</v>
      </c>
      <c r="K5">
        <v>5</v>
      </c>
      <c r="L5">
        <v>7</v>
      </c>
      <c r="M5">
        <v>19</v>
      </c>
      <c r="N5" s="1">
        <v>0.558</v>
      </c>
      <c r="O5" s="1">
        <v>0.11</v>
      </c>
      <c r="P5">
        <v>11046</v>
      </c>
      <c r="Q5">
        <v>31</v>
      </c>
      <c r="R5">
        <v>1</v>
      </c>
      <c r="S5">
        <v>352</v>
      </c>
      <c r="T5">
        <v>569</v>
      </c>
      <c r="U5">
        <v>6</v>
      </c>
      <c r="V5">
        <v>0</v>
      </c>
      <c r="W5">
        <v>1</v>
      </c>
      <c r="X5">
        <v>9696</v>
      </c>
      <c r="Y5">
        <v>53</v>
      </c>
      <c r="Z5">
        <v>17745</v>
      </c>
      <c r="AA5" s="1">
        <v>0.257</v>
      </c>
      <c r="AB5">
        <v>741</v>
      </c>
      <c r="AC5" s="3">
        <v>0.157638888888889</v>
      </c>
      <c r="AD5">
        <v>2</v>
      </c>
      <c r="AE5">
        <v>2130</v>
      </c>
      <c r="AF5">
        <v>5</v>
      </c>
      <c r="AG5">
        <v>850</v>
      </c>
      <c r="AH5">
        <v>3</v>
      </c>
      <c r="AI5">
        <v>6</v>
      </c>
    </row>
    <row r="6" spans="1:35">
      <c r="A6">
        <v>260514</v>
      </c>
      <c r="B6">
        <v>2</v>
      </c>
      <c r="C6" t="s">
        <v>83</v>
      </c>
      <c r="D6" t="s">
        <v>77</v>
      </c>
      <c r="E6">
        <v>43</v>
      </c>
      <c r="F6" t="s">
        <v>19</v>
      </c>
      <c r="G6">
        <f>VLOOKUP(F6,选手工资!$A:$I,9,FALSE)</f>
        <v>7</v>
      </c>
      <c r="H6" t="s">
        <v>149</v>
      </c>
      <c r="I6">
        <v>2</v>
      </c>
      <c r="J6">
        <v>22</v>
      </c>
      <c r="K6">
        <v>9</v>
      </c>
      <c r="L6">
        <v>2</v>
      </c>
      <c r="M6">
        <v>19</v>
      </c>
      <c r="N6" s="1">
        <v>0.651</v>
      </c>
      <c r="O6" s="1">
        <v>0.214</v>
      </c>
      <c r="P6">
        <v>19008</v>
      </c>
      <c r="Q6">
        <v>210</v>
      </c>
      <c r="R6">
        <v>10</v>
      </c>
      <c r="S6">
        <v>538</v>
      </c>
      <c r="T6">
        <v>749</v>
      </c>
      <c r="U6">
        <v>1</v>
      </c>
      <c r="V6">
        <v>110</v>
      </c>
      <c r="W6">
        <v>0</v>
      </c>
      <c r="X6">
        <v>18916</v>
      </c>
      <c r="Y6">
        <v>3915</v>
      </c>
      <c r="Z6">
        <v>34917</v>
      </c>
      <c r="AA6" s="1">
        <v>0.445</v>
      </c>
      <c r="AB6">
        <v>760</v>
      </c>
      <c r="AC6" s="3">
        <v>0.0902777777777778</v>
      </c>
      <c r="AD6">
        <v>9</v>
      </c>
      <c r="AE6">
        <v>3938</v>
      </c>
      <c r="AF6">
        <v>8</v>
      </c>
      <c r="AG6">
        <v>100</v>
      </c>
      <c r="AH6">
        <v>0</v>
      </c>
      <c r="AI6">
        <v>1</v>
      </c>
    </row>
    <row r="7" spans="1:35">
      <c r="A7">
        <v>260514</v>
      </c>
      <c r="B7">
        <v>2</v>
      </c>
      <c r="C7" t="s">
        <v>76</v>
      </c>
      <c r="D7" t="s">
        <v>84</v>
      </c>
      <c r="E7">
        <v>20</v>
      </c>
      <c r="F7" t="s">
        <v>36</v>
      </c>
      <c r="G7">
        <f>VLOOKUP(F7,选手工资!$A:$I,9,FALSE)</f>
        <v>3.5</v>
      </c>
      <c r="H7" t="s">
        <v>206</v>
      </c>
      <c r="I7">
        <v>3</v>
      </c>
      <c r="J7">
        <v>19</v>
      </c>
      <c r="K7">
        <v>3</v>
      </c>
      <c r="L7">
        <v>8</v>
      </c>
      <c r="M7">
        <v>11</v>
      </c>
      <c r="N7" s="1">
        <v>0.7</v>
      </c>
      <c r="O7" s="1">
        <v>0.229</v>
      </c>
      <c r="P7">
        <v>15525</v>
      </c>
      <c r="Q7">
        <v>217</v>
      </c>
      <c r="R7">
        <v>1</v>
      </c>
      <c r="S7">
        <v>470</v>
      </c>
      <c r="T7">
        <v>553</v>
      </c>
      <c r="U7">
        <v>1</v>
      </c>
      <c r="V7">
        <v>0</v>
      </c>
      <c r="W7">
        <v>0</v>
      </c>
      <c r="X7">
        <v>19101</v>
      </c>
      <c r="Y7">
        <v>0</v>
      </c>
      <c r="Z7">
        <v>29783</v>
      </c>
      <c r="AA7" s="1">
        <v>0.407</v>
      </c>
      <c r="AB7">
        <v>1090</v>
      </c>
      <c r="AC7" s="3">
        <v>0.168055555555556</v>
      </c>
      <c r="AD7">
        <v>10</v>
      </c>
      <c r="AE7">
        <v>2838</v>
      </c>
      <c r="AF7">
        <v>6</v>
      </c>
      <c r="AG7">
        <v>0</v>
      </c>
      <c r="AH7">
        <v>2</v>
      </c>
      <c r="AI7">
        <v>0</v>
      </c>
    </row>
    <row r="8" spans="1:35">
      <c r="A8">
        <v>260514</v>
      </c>
      <c r="B8">
        <v>2</v>
      </c>
      <c r="C8" t="s">
        <v>76</v>
      </c>
      <c r="D8" t="s">
        <v>84</v>
      </c>
      <c r="E8">
        <v>20</v>
      </c>
      <c r="F8" t="s">
        <v>13</v>
      </c>
      <c r="G8">
        <f>VLOOKUP(F8,选手工资!$A:$I,9,FALSE)</f>
        <v>11</v>
      </c>
      <c r="H8" t="s">
        <v>85</v>
      </c>
      <c r="I8">
        <v>2</v>
      </c>
      <c r="J8">
        <v>21</v>
      </c>
      <c r="K8">
        <v>6</v>
      </c>
      <c r="L8">
        <v>7</v>
      </c>
      <c r="M8">
        <v>9</v>
      </c>
      <c r="N8" s="1">
        <v>0.75</v>
      </c>
      <c r="O8" s="1">
        <v>0.261</v>
      </c>
      <c r="P8">
        <v>16405</v>
      </c>
      <c r="Q8">
        <v>287</v>
      </c>
      <c r="R8">
        <v>8</v>
      </c>
      <c r="S8">
        <v>523</v>
      </c>
      <c r="T8">
        <v>640</v>
      </c>
      <c r="U8">
        <v>6</v>
      </c>
      <c r="V8">
        <v>717</v>
      </c>
      <c r="W8">
        <v>1</v>
      </c>
      <c r="X8">
        <v>21793</v>
      </c>
      <c r="Y8">
        <v>0</v>
      </c>
      <c r="Z8">
        <v>37479</v>
      </c>
      <c r="AA8" s="1">
        <v>0.391</v>
      </c>
      <c r="AB8">
        <v>1401</v>
      </c>
      <c r="AC8" s="3">
        <v>0.196527777777778</v>
      </c>
      <c r="AD8">
        <v>8</v>
      </c>
      <c r="AE8">
        <v>3925</v>
      </c>
      <c r="AF8">
        <v>8</v>
      </c>
      <c r="AG8">
        <v>50</v>
      </c>
      <c r="AH8">
        <v>0</v>
      </c>
      <c r="AI8">
        <v>1</v>
      </c>
    </row>
    <row r="9" spans="1:35">
      <c r="A9">
        <v>260514</v>
      </c>
      <c r="B9">
        <v>2</v>
      </c>
      <c r="C9" t="s">
        <v>76</v>
      </c>
      <c r="D9" t="s">
        <v>84</v>
      </c>
      <c r="E9">
        <v>20</v>
      </c>
      <c r="F9" t="s">
        <v>20</v>
      </c>
      <c r="G9">
        <f>VLOOKUP(F9,选手工资!$A:$I,9,FALSE)</f>
        <v>7</v>
      </c>
      <c r="H9" t="s">
        <v>81</v>
      </c>
      <c r="I9">
        <v>1</v>
      </c>
      <c r="J9">
        <v>20</v>
      </c>
      <c r="K9">
        <v>6</v>
      </c>
      <c r="L9">
        <v>8</v>
      </c>
      <c r="M9">
        <v>6</v>
      </c>
      <c r="N9" s="1">
        <v>0.6</v>
      </c>
      <c r="O9" s="1">
        <v>0.202</v>
      </c>
      <c r="P9">
        <v>15954</v>
      </c>
      <c r="Q9">
        <v>256</v>
      </c>
      <c r="R9">
        <v>6</v>
      </c>
      <c r="S9">
        <v>499</v>
      </c>
      <c r="T9">
        <v>576</v>
      </c>
      <c r="U9">
        <v>1</v>
      </c>
      <c r="V9">
        <v>0</v>
      </c>
      <c r="W9">
        <v>0</v>
      </c>
      <c r="X9">
        <v>16868</v>
      </c>
      <c r="Y9">
        <v>505</v>
      </c>
      <c r="Z9">
        <v>29443</v>
      </c>
      <c r="AA9" s="1">
        <v>0.364</v>
      </c>
      <c r="AB9">
        <v>1291</v>
      </c>
      <c r="AC9" s="3">
        <v>0.182638888888889</v>
      </c>
      <c r="AD9">
        <v>4</v>
      </c>
      <c r="AE9">
        <v>2939</v>
      </c>
      <c r="AF9">
        <v>5</v>
      </c>
      <c r="AG9">
        <v>0</v>
      </c>
      <c r="AH9">
        <v>1</v>
      </c>
      <c r="AI9">
        <v>0</v>
      </c>
    </row>
    <row r="10" spans="1:35">
      <c r="A10">
        <v>260514</v>
      </c>
      <c r="B10">
        <v>2</v>
      </c>
      <c r="C10" t="s">
        <v>76</v>
      </c>
      <c r="D10" t="s">
        <v>84</v>
      </c>
      <c r="E10">
        <v>20</v>
      </c>
      <c r="F10" t="s">
        <v>31</v>
      </c>
      <c r="G10">
        <f>VLOOKUP(F10,选手工资!$A:$I,9,FALSE)</f>
        <v>5.5</v>
      </c>
      <c r="H10" t="s">
        <v>89</v>
      </c>
      <c r="I10">
        <v>4</v>
      </c>
      <c r="J10">
        <v>15</v>
      </c>
      <c r="K10">
        <v>4</v>
      </c>
      <c r="L10">
        <v>11</v>
      </c>
      <c r="M10">
        <v>7</v>
      </c>
      <c r="N10" s="1">
        <v>0.55</v>
      </c>
      <c r="O10" s="1">
        <v>0.145</v>
      </c>
      <c r="P10">
        <v>8697</v>
      </c>
      <c r="Q10">
        <v>54</v>
      </c>
      <c r="R10">
        <v>1</v>
      </c>
      <c r="S10">
        <v>261</v>
      </c>
      <c r="T10">
        <v>341</v>
      </c>
      <c r="U10">
        <v>2</v>
      </c>
      <c r="V10">
        <v>0</v>
      </c>
      <c r="W10">
        <v>0</v>
      </c>
      <c r="X10">
        <v>12083</v>
      </c>
      <c r="Y10">
        <v>0</v>
      </c>
      <c r="Z10">
        <v>27754</v>
      </c>
      <c r="AA10" s="1">
        <v>0.47</v>
      </c>
      <c r="AB10">
        <v>1036</v>
      </c>
      <c r="AC10" s="3">
        <v>0.228472222222222</v>
      </c>
      <c r="AD10">
        <v>7</v>
      </c>
      <c r="AE10">
        <v>1808</v>
      </c>
      <c r="AF10">
        <v>4</v>
      </c>
      <c r="AG10">
        <v>680</v>
      </c>
      <c r="AH10">
        <v>0</v>
      </c>
      <c r="AI10">
        <v>5</v>
      </c>
    </row>
    <row r="11" spans="1:35">
      <c r="A11">
        <v>260514</v>
      </c>
      <c r="B11">
        <v>2</v>
      </c>
      <c r="C11" t="s">
        <v>76</v>
      </c>
      <c r="D11" t="s">
        <v>84</v>
      </c>
      <c r="E11">
        <v>20</v>
      </c>
      <c r="F11" t="s">
        <v>22</v>
      </c>
      <c r="G11">
        <f>VLOOKUP(F11,选手工资!$A:$I,9,FALSE)</f>
        <v>6</v>
      </c>
      <c r="H11" t="s">
        <v>121</v>
      </c>
      <c r="I11">
        <v>5</v>
      </c>
      <c r="J11">
        <v>15</v>
      </c>
      <c r="K11">
        <v>0</v>
      </c>
      <c r="L11">
        <v>9</v>
      </c>
      <c r="M11">
        <v>9</v>
      </c>
      <c r="N11" s="1">
        <v>0.45</v>
      </c>
      <c r="O11" s="1">
        <v>0.164</v>
      </c>
      <c r="P11">
        <v>7357</v>
      </c>
      <c r="Q11">
        <v>38</v>
      </c>
      <c r="R11">
        <v>3</v>
      </c>
      <c r="S11">
        <v>226</v>
      </c>
      <c r="T11">
        <v>357</v>
      </c>
      <c r="U11">
        <v>0</v>
      </c>
      <c r="V11">
        <v>0</v>
      </c>
      <c r="W11">
        <v>1</v>
      </c>
      <c r="X11">
        <v>13698</v>
      </c>
      <c r="Y11">
        <v>0</v>
      </c>
      <c r="Z11">
        <v>16909</v>
      </c>
      <c r="AA11" s="1">
        <v>0.152</v>
      </c>
      <c r="AB11">
        <v>726</v>
      </c>
      <c r="AC11" s="3">
        <v>0.167361111111111</v>
      </c>
      <c r="AD11">
        <v>3</v>
      </c>
      <c r="AE11">
        <v>1342</v>
      </c>
      <c r="AF11">
        <v>4</v>
      </c>
      <c r="AG11">
        <v>700</v>
      </c>
      <c r="AH11">
        <v>1</v>
      </c>
      <c r="AI11">
        <v>5</v>
      </c>
    </row>
    <row r="14" spans="1:35">
      <c r="A14" t="s">
        <v>90</v>
      </c>
      <c r="B14" s="4">
        <v>8810621567</v>
      </c>
      <c r="C14" s="4"/>
    </row>
    <row r="15" spans="1:35">
      <c r="A15" t="s">
        <v>91</v>
      </c>
      <c r="B15" s="7" t="s">
        <v>207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C3" sqref="A2:AI11"/>
    </sheetView>
  </sheetViews>
  <sheetFormatPr defaultColWidth="9.25" defaultRowHeight="16.8"/>
  <cols>
    <col min="8" max="8" width="12.75" customWidth="1"/>
    <col min="31" max="31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260514</v>
      </c>
      <c r="B2">
        <v>3</v>
      </c>
      <c r="C2" t="s">
        <v>76</v>
      </c>
      <c r="D2" t="s">
        <v>84</v>
      </c>
      <c r="E2">
        <v>22</v>
      </c>
      <c r="F2" t="s">
        <v>19</v>
      </c>
      <c r="G2">
        <f>VLOOKUP(F2,选手工资!$A:$I,9,FALSE)</f>
        <v>7</v>
      </c>
      <c r="H2" t="s">
        <v>125</v>
      </c>
      <c r="I2">
        <v>2</v>
      </c>
      <c r="J2">
        <v>23</v>
      </c>
      <c r="K2">
        <v>5</v>
      </c>
      <c r="L2">
        <v>3</v>
      </c>
      <c r="M2">
        <v>5</v>
      </c>
      <c r="N2" s="1">
        <v>0.455</v>
      </c>
      <c r="O2" s="1">
        <v>0.392</v>
      </c>
      <c r="P2">
        <v>18042</v>
      </c>
      <c r="Q2">
        <v>317</v>
      </c>
      <c r="R2">
        <v>3</v>
      </c>
      <c r="S2">
        <v>587</v>
      </c>
      <c r="T2">
        <v>813</v>
      </c>
      <c r="U2">
        <v>2</v>
      </c>
      <c r="V2">
        <v>0</v>
      </c>
      <c r="W2">
        <v>0</v>
      </c>
      <c r="X2">
        <v>33164</v>
      </c>
      <c r="Y2">
        <v>1698</v>
      </c>
      <c r="Z2">
        <v>50109</v>
      </c>
      <c r="AA2" s="1">
        <v>0.483</v>
      </c>
      <c r="AB2">
        <v>1075</v>
      </c>
      <c r="AC2" s="3">
        <v>0.0895833333333333</v>
      </c>
      <c r="AD2">
        <v>7</v>
      </c>
      <c r="AE2">
        <v>4264</v>
      </c>
      <c r="AF2">
        <v>9</v>
      </c>
      <c r="AG2">
        <v>50</v>
      </c>
      <c r="AH2">
        <v>0</v>
      </c>
      <c r="AI2">
        <v>2</v>
      </c>
    </row>
    <row r="3" spans="1:35">
      <c r="A3">
        <v>260514</v>
      </c>
      <c r="B3">
        <v>3</v>
      </c>
      <c r="C3" t="s">
        <v>83</v>
      </c>
      <c r="D3" t="s">
        <v>77</v>
      </c>
      <c r="E3">
        <v>42</v>
      </c>
      <c r="F3" t="s">
        <v>30</v>
      </c>
      <c r="G3">
        <f>VLOOKUP(F3,选手工资!$A:$I,9,FALSE)</f>
        <v>4</v>
      </c>
      <c r="H3" t="s">
        <v>103</v>
      </c>
      <c r="I3">
        <v>2</v>
      </c>
      <c r="J3">
        <v>25</v>
      </c>
      <c r="K3">
        <v>16</v>
      </c>
      <c r="L3">
        <v>3</v>
      </c>
      <c r="M3">
        <v>16</v>
      </c>
      <c r="N3" s="1">
        <v>0.762</v>
      </c>
      <c r="O3" s="1">
        <v>0.357</v>
      </c>
      <c r="P3">
        <v>28769</v>
      </c>
      <c r="Q3">
        <v>306</v>
      </c>
      <c r="R3">
        <v>9</v>
      </c>
      <c r="S3">
        <v>686</v>
      </c>
      <c r="T3">
        <v>982</v>
      </c>
      <c r="U3">
        <v>2</v>
      </c>
      <c r="V3">
        <v>0</v>
      </c>
      <c r="W3">
        <v>0</v>
      </c>
      <c r="X3">
        <v>46228</v>
      </c>
      <c r="Y3">
        <v>2571</v>
      </c>
      <c r="Z3">
        <v>39542</v>
      </c>
      <c r="AA3" s="1">
        <v>0.517</v>
      </c>
      <c r="AB3">
        <v>312</v>
      </c>
      <c r="AC3" s="3">
        <v>0.0611111111111111</v>
      </c>
      <c r="AD3">
        <v>9</v>
      </c>
      <c r="AE3">
        <v>4241</v>
      </c>
      <c r="AF3">
        <v>8</v>
      </c>
      <c r="AG3">
        <v>130</v>
      </c>
      <c r="AH3">
        <v>0</v>
      </c>
      <c r="AI3">
        <v>1</v>
      </c>
    </row>
    <row r="4" spans="1:35">
      <c r="A4">
        <v>260514</v>
      </c>
      <c r="B4">
        <v>3</v>
      </c>
      <c r="C4" t="s">
        <v>83</v>
      </c>
      <c r="D4" t="s">
        <v>77</v>
      </c>
      <c r="E4">
        <v>42</v>
      </c>
      <c r="F4" t="s">
        <v>14</v>
      </c>
      <c r="G4">
        <f>VLOOKUP(F4,选手工资!$A:$I,9,FALSE)</f>
        <v>9</v>
      </c>
      <c r="H4" t="s">
        <v>174</v>
      </c>
      <c r="I4">
        <v>1</v>
      </c>
      <c r="J4">
        <v>23</v>
      </c>
      <c r="K4">
        <v>11</v>
      </c>
      <c r="L4">
        <v>3</v>
      </c>
      <c r="M4">
        <v>16</v>
      </c>
      <c r="N4" s="1">
        <v>0.643</v>
      </c>
      <c r="O4" s="1">
        <v>0.204</v>
      </c>
      <c r="P4">
        <v>25336</v>
      </c>
      <c r="Q4">
        <v>365</v>
      </c>
      <c r="R4">
        <v>20</v>
      </c>
      <c r="S4">
        <v>726</v>
      </c>
      <c r="T4">
        <v>795</v>
      </c>
      <c r="U4">
        <v>3</v>
      </c>
      <c r="V4">
        <v>0</v>
      </c>
      <c r="W4">
        <v>0</v>
      </c>
      <c r="X4">
        <v>26491</v>
      </c>
      <c r="Y4">
        <v>9136</v>
      </c>
      <c r="Z4">
        <v>31711</v>
      </c>
      <c r="AA4" s="1">
        <v>0.47</v>
      </c>
      <c r="AB4">
        <v>670</v>
      </c>
      <c r="AC4" s="3">
        <v>0.0847222222222222</v>
      </c>
      <c r="AD4">
        <v>6</v>
      </c>
      <c r="AE4">
        <v>4487</v>
      </c>
      <c r="AF4">
        <v>7</v>
      </c>
      <c r="AG4">
        <v>0</v>
      </c>
      <c r="AH4">
        <v>1</v>
      </c>
      <c r="AI4">
        <v>0</v>
      </c>
    </row>
    <row r="5" spans="1:35">
      <c r="A5">
        <v>260514</v>
      </c>
      <c r="B5">
        <v>3</v>
      </c>
      <c r="C5" t="s">
        <v>76</v>
      </c>
      <c r="D5" t="s">
        <v>84</v>
      </c>
      <c r="E5">
        <v>22</v>
      </c>
      <c r="F5" t="s">
        <v>18</v>
      </c>
      <c r="G5">
        <f>VLOOKUP(F5,选手工资!$A:$I,9,FALSE)</f>
        <v>6.5</v>
      </c>
      <c r="H5" t="s">
        <v>208</v>
      </c>
      <c r="I5">
        <v>1</v>
      </c>
      <c r="J5">
        <v>19</v>
      </c>
      <c r="K5">
        <v>6</v>
      </c>
      <c r="L5">
        <v>6</v>
      </c>
      <c r="M5">
        <v>6</v>
      </c>
      <c r="N5" s="1">
        <v>0.545</v>
      </c>
      <c r="O5" s="1">
        <v>0.251</v>
      </c>
      <c r="P5">
        <v>16106</v>
      </c>
      <c r="Q5">
        <v>261</v>
      </c>
      <c r="R5">
        <v>11</v>
      </c>
      <c r="S5">
        <v>468</v>
      </c>
      <c r="T5">
        <v>569</v>
      </c>
      <c r="U5">
        <v>5</v>
      </c>
      <c r="V5">
        <v>554</v>
      </c>
      <c r="W5">
        <v>0</v>
      </c>
      <c r="X5">
        <v>21280</v>
      </c>
      <c r="Y5">
        <v>86</v>
      </c>
      <c r="Z5">
        <v>65043</v>
      </c>
      <c r="AA5" s="1">
        <v>0.489</v>
      </c>
      <c r="AB5">
        <v>868</v>
      </c>
      <c r="AC5" s="3">
        <v>0.197222222222222</v>
      </c>
      <c r="AD5">
        <v>8</v>
      </c>
      <c r="AE5">
        <v>4195</v>
      </c>
      <c r="AF5">
        <v>7</v>
      </c>
      <c r="AG5">
        <v>50</v>
      </c>
      <c r="AH5">
        <v>0</v>
      </c>
      <c r="AI5">
        <v>1</v>
      </c>
    </row>
    <row r="6" spans="1:35">
      <c r="A6">
        <v>260514</v>
      </c>
      <c r="B6">
        <v>3</v>
      </c>
      <c r="C6" t="s">
        <v>83</v>
      </c>
      <c r="D6" t="s">
        <v>77</v>
      </c>
      <c r="E6">
        <v>42</v>
      </c>
      <c r="F6" t="s">
        <v>20</v>
      </c>
      <c r="G6">
        <f>VLOOKUP(F6,选手工资!$A:$I,9,FALSE)</f>
        <v>7</v>
      </c>
      <c r="H6" t="s">
        <v>133</v>
      </c>
      <c r="I6">
        <v>4</v>
      </c>
      <c r="J6">
        <v>21</v>
      </c>
      <c r="K6">
        <v>2</v>
      </c>
      <c r="L6">
        <v>6</v>
      </c>
      <c r="M6">
        <v>29</v>
      </c>
      <c r="N6" s="1">
        <v>0.738</v>
      </c>
      <c r="O6" s="1">
        <v>0.201</v>
      </c>
      <c r="P6">
        <v>12741</v>
      </c>
      <c r="Q6">
        <v>69</v>
      </c>
      <c r="R6">
        <v>0</v>
      </c>
      <c r="S6">
        <v>342</v>
      </c>
      <c r="T6">
        <v>661</v>
      </c>
      <c r="U6">
        <v>0</v>
      </c>
      <c r="V6">
        <v>6446</v>
      </c>
      <c r="W6">
        <v>0</v>
      </c>
      <c r="X6">
        <v>26045</v>
      </c>
      <c r="Y6">
        <v>964</v>
      </c>
      <c r="Z6">
        <v>22851</v>
      </c>
      <c r="AA6" s="1">
        <v>0.362</v>
      </c>
      <c r="AB6">
        <v>627</v>
      </c>
      <c r="AC6" s="3">
        <v>0.147916666666667</v>
      </c>
      <c r="AD6">
        <v>1</v>
      </c>
      <c r="AE6">
        <v>2378</v>
      </c>
      <c r="AF6">
        <v>6</v>
      </c>
      <c r="AG6">
        <v>600</v>
      </c>
      <c r="AH6">
        <v>2</v>
      </c>
      <c r="AI6">
        <v>8</v>
      </c>
    </row>
    <row r="7" spans="1:35">
      <c r="A7">
        <v>260514</v>
      </c>
      <c r="B7">
        <v>3</v>
      </c>
      <c r="C7" t="s">
        <v>76</v>
      </c>
      <c r="D7" t="s">
        <v>84</v>
      </c>
      <c r="E7">
        <v>22</v>
      </c>
      <c r="F7" t="s">
        <v>25</v>
      </c>
      <c r="G7">
        <f>VLOOKUP(F7,选手工资!$A:$I,9,FALSE)</f>
        <v>6.5</v>
      </c>
      <c r="H7" t="s">
        <v>137</v>
      </c>
      <c r="I7">
        <v>5</v>
      </c>
      <c r="J7">
        <v>14</v>
      </c>
      <c r="K7">
        <v>4</v>
      </c>
      <c r="L7">
        <v>14</v>
      </c>
      <c r="M7">
        <v>12</v>
      </c>
      <c r="N7" s="1">
        <v>0.727</v>
      </c>
      <c r="O7" s="1">
        <v>0.094</v>
      </c>
      <c r="P7">
        <v>7931</v>
      </c>
      <c r="Q7">
        <v>50</v>
      </c>
      <c r="R7">
        <v>2</v>
      </c>
      <c r="S7">
        <v>281</v>
      </c>
      <c r="T7">
        <v>332</v>
      </c>
      <c r="U7">
        <v>1</v>
      </c>
      <c r="V7">
        <v>4491</v>
      </c>
      <c r="W7">
        <v>0</v>
      </c>
      <c r="X7">
        <v>7931</v>
      </c>
      <c r="Y7">
        <v>0</v>
      </c>
      <c r="Z7">
        <v>50530</v>
      </c>
      <c r="AA7" s="1">
        <v>0.366</v>
      </c>
      <c r="AB7">
        <v>1754</v>
      </c>
      <c r="AC7" s="3">
        <v>0.254166666666667</v>
      </c>
      <c r="AD7">
        <v>3</v>
      </c>
      <c r="AE7">
        <v>2265</v>
      </c>
      <c r="AF7">
        <v>6</v>
      </c>
      <c r="AG7">
        <v>700</v>
      </c>
      <c r="AH7">
        <v>3</v>
      </c>
      <c r="AI7">
        <v>2</v>
      </c>
    </row>
    <row r="8" spans="1:35">
      <c r="A8">
        <v>260514</v>
      </c>
      <c r="B8">
        <v>3</v>
      </c>
      <c r="C8" t="s">
        <v>83</v>
      </c>
      <c r="D8" t="s">
        <v>77</v>
      </c>
      <c r="E8">
        <v>42</v>
      </c>
      <c r="F8" t="s">
        <v>17</v>
      </c>
      <c r="G8">
        <f>VLOOKUP(F8,选手工资!$A:$I,9,FALSE)</f>
        <v>7</v>
      </c>
      <c r="H8" t="s">
        <v>177</v>
      </c>
      <c r="I8">
        <v>3</v>
      </c>
      <c r="J8">
        <v>22</v>
      </c>
      <c r="K8">
        <v>5</v>
      </c>
      <c r="L8">
        <v>6</v>
      </c>
      <c r="M8">
        <v>20</v>
      </c>
      <c r="N8" s="1">
        <v>0.595</v>
      </c>
      <c r="O8" s="1">
        <v>0.141</v>
      </c>
      <c r="P8">
        <v>19341</v>
      </c>
      <c r="Q8">
        <v>200</v>
      </c>
      <c r="R8">
        <v>32</v>
      </c>
      <c r="S8">
        <v>543</v>
      </c>
      <c r="T8">
        <v>721</v>
      </c>
      <c r="U8">
        <v>0</v>
      </c>
      <c r="V8">
        <v>0</v>
      </c>
      <c r="W8">
        <v>0</v>
      </c>
      <c r="X8">
        <v>18275</v>
      </c>
      <c r="Y8">
        <v>2146</v>
      </c>
      <c r="Z8">
        <v>40946</v>
      </c>
      <c r="AA8" s="1">
        <v>0.435</v>
      </c>
      <c r="AB8">
        <v>609</v>
      </c>
      <c r="AC8" s="3">
        <v>0.143055555555556</v>
      </c>
      <c r="AD8">
        <v>2</v>
      </c>
      <c r="AE8">
        <v>3610</v>
      </c>
      <c r="AF8">
        <v>5</v>
      </c>
      <c r="AG8">
        <v>0</v>
      </c>
      <c r="AH8">
        <v>0</v>
      </c>
      <c r="AI8">
        <v>0</v>
      </c>
    </row>
    <row r="9" spans="1:35">
      <c r="A9">
        <v>260514</v>
      </c>
      <c r="B9">
        <v>3</v>
      </c>
      <c r="C9" t="s">
        <v>76</v>
      </c>
      <c r="D9" t="s">
        <v>84</v>
      </c>
      <c r="E9">
        <v>22</v>
      </c>
      <c r="F9" t="s">
        <v>28</v>
      </c>
      <c r="G9">
        <f>VLOOKUP(F9,选手工资!$A:$I,9,FALSE)</f>
        <v>5</v>
      </c>
      <c r="H9" t="s">
        <v>95</v>
      </c>
      <c r="I9">
        <v>4</v>
      </c>
      <c r="J9">
        <v>15</v>
      </c>
      <c r="K9">
        <v>3</v>
      </c>
      <c r="L9">
        <v>12</v>
      </c>
      <c r="M9">
        <v>6</v>
      </c>
      <c r="N9" s="1">
        <v>0.409</v>
      </c>
      <c r="O9" s="1">
        <v>0.115</v>
      </c>
      <c r="P9">
        <v>9058</v>
      </c>
      <c r="Q9">
        <v>63</v>
      </c>
      <c r="R9">
        <v>7</v>
      </c>
      <c r="S9">
        <v>299</v>
      </c>
      <c r="T9">
        <v>361</v>
      </c>
      <c r="U9">
        <v>1</v>
      </c>
      <c r="V9">
        <v>411</v>
      </c>
      <c r="W9">
        <v>0</v>
      </c>
      <c r="X9">
        <v>9781</v>
      </c>
      <c r="Y9">
        <v>0</v>
      </c>
      <c r="Z9">
        <v>30070</v>
      </c>
      <c r="AA9" s="1">
        <v>0.351</v>
      </c>
      <c r="AB9">
        <v>996</v>
      </c>
      <c r="AC9" s="3">
        <v>0.309722222222222</v>
      </c>
      <c r="AD9">
        <v>4</v>
      </c>
      <c r="AE9">
        <v>1760</v>
      </c>
      <c r="AF9">
        <v>5</v>
      </c>
      <c r="AG9">
        <v>700</v>
      </c>
      <c r="AH9">
        <v>1</v>
      </c>
      <c r="AI9">
        <v>6</v>
      </c>
    </row>
    <row r="10" spans="1:35">
      <c r="A10">
        <v>260514</v>
      </c>
      <c r="B10">
        <v>3</v>
      </c>
      <c r="C10" t="s">
        <v>76</v>
      </c>
      <c r="D10" t="s">
        <v>84</v>
      </c>
      <c r="E10">
        <v>22</v>
      </c>
      <c r="F10" t="s">
        <v>31</v>
      </c>
      <c r="G10">
        <f>VLOOKUP(F10,选手工资!$A:$I,9,FALSE)</f>
        <v>5.5</v>
      </c>
      <c r="H10" t="s">
        <v>143</v>
      </c>
      <c r="I10">
        <v>3</v>
      </c>
      <c r="J10">
        <v>17</v>
      </c>
      <c r="K10">
        <v>4</v>
      </c>
      <c r="L10">
        <v>7</v>
      </c>
      <c r="M10">
        <v>4</v>
      </c>
      <c r="N10" s="1">
        <v>0.364</v>
      </c>
      <c r="O10" s="1">
        <v>0.148</v>
      </c>
      <c r="P10">
        <v>12785</v>
      </c>
      <c r="Q10">
        <v>195</v>
      </c>
      <c r="R10">
        <v>8</v>
      </c>
      <c r="S10">
        <v>382</v>
      </c>
      <c r="T10">
        <v>454</v>
      </c>
      <c r="U10">
        <v>2</v>
      </c>
      <c r="V10">
        <v>0</v>
      </c>
      <c r="W10">
        <v>0</v>
      </c>
      <c r="X10">
        <v>12544</v>
      </c>
      <c r="Y10">
        <v>0</v>
      </c>
      <c r="Z10">
        <v>41982</v>
      </c>
      <c r="AA10" s="1">
        <v>0.55</v>
      </c>
      <c r="AB10">
        <v>492</v>
      </c>
      <c r="AC10" s="3">
        <v>0.169444444444444</v>
      </c>
      <c r="AD10">
        <v>10</v>
      </c>
      <c r="AE10">
        <v>2599</v>
      </c>
      <c r="AF10">
        <v>5</v>
      </c>
      <c r="AG10">
        <v>0</v>
      </c>
      <c r="AH10">
        <v>0</v>
      </c>
      <c r="AI10">
        <v>0</v>
      </c>
    </row>
    <row r="11" spans="1:35">
      <c r="A11">
        <v>260514</v>
      </c>
      <c r="B11">
        <v>3</v>
      </c>
      <c r="C11" t="s">
        <v>83</v>
      </c>
      <c r="D11" t="s">
        <v>77</v>
      </c>
      <c r="E11">
        <v>42</v>
      </c>
      <c r="F11" t="s">
        <v>36</v>
      </c>
      <c r="G11">
        <f>VLOOKUP(F11,选手工资!$A:$I,9,FALSE)</f>
        <v>3.5</v>
      </c>
      <c r="H11" t="s">
        <v>88</v>
      </c>
      <c r="I11">
        <v>5</v>
      </c>
      <c r="J11">
        <v>18</v>
      </c>
      <c r="K11">
        <v>7</v>
      </c>
      <c r="L11">
        <v>4</v>
      </c>
      <c r="M11">
        <v>16</v>
      </c>
      <c r="N11" s="1">
        <v>0.548</v>
      </c>
      <c r="O11" s="1">
        <v>0.097</v>
      </c>
      <c r="P11">
        <v>11491</v>
      </c>
      <c r="Q11">
        <v>71</v>
      </c>
      <c r="R11">
        <v>4</v>
      </c>
      <c r="S11">
        <v>348</v>
      </c>
      <c r="T11">
        <v>489</v>
      </c>
      <c r="U11">
        <v>4</v>
      </c>
      <c r="V11">
        <v>2152</v>
      </c>
      <c r="W11">
        <v>1</v>
      </c>
      <c r="X11">
        <v>12553</v>
      </c>
      <c r="Y11">
        <v>1989</v>
      </c>
      <c r="Z11">
        <v>17347</v>
      </c>
      <c r="AA11" s="1">
        <v>0.363</v>
      </c>
      <c r="AB11">
        <v>233</v>
      </c>
      <c r="AC11" s="3">
        <v>0.0791666666666667</v>
      </c>
      <c r="AD11">
        <v>5</v>
      </c>
      <c r="AE11">
        <v>1208</v>
      </c>
      <c r="AF11">
        <v>5</v>
      </c>
      <c r="AG11">
        <v>450</v>
      </c>
      <c r="AH11">
        <v>2</v>
      </c>
      <c r="AI11">
        <v>4</v>
      </c>
    </row>
    <row r="14" spans="1:35">
      <c r="A14" t="s">
        <v>90</v>
      </c>
      <c r="B14" s="4">
        <v>8810694716</v>
      </c>
      <c r="C14" s="4"/>
    </row>
    <row r="15" spans="1:35">
      <c r="A15" t="s">
        <v>91</v>
      </c>
      <c r="B15" s="7" t="s">
        <v>209</v>
      </c>
    </row>
  </sheetData>
  <sortState ref="A2:AI11">
    <sortCondition ref="AF8" descending="1"/>
  </sortState>
  <mergeCells count="1">
    <mergeCell ref="B14:C14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C3" sqref="A2:AI11"/>
    </sheetView>
  </sheetViews>
  <sheetFormatPr defaultColWidth="9.25" defaultRowHeight="16.8"/>
  <cols>
    <col min="6" max="6" width="22.5" customWidth="1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260514</v>
      </c>
      <c r="B2">
        <v>4</v>
      </c>
      <c r="C2" t="s">
        <v>83</v>
      </c>
      <c r="D2" t="s">
        <v>77</v>
      </c>
      <c r="E2">
        <v>39</v>
      </c>
      <c r="F2" t="s">
        <v>13</v>
      </c>
      <c r="G2">
        <f>VLOOKUP(F2,选手工资!$A:$I,9,FALSE)</f>
        <v>11</v>
      </c>
      <c r="H2" t="s">
        <v>82</v>
      </c>
      <c r="I2">
        <v>2</v>
      </c>
      <c r="J2">
        <v>28</v>
      </c>
      <c r="K2">
        <v>10</v>
      </c>
      <c r="L2">
        <v>7</v>
      </c>
      <c r="M2">
        <v>14</v>
      </c>
      <c r="N2" s="1">
        <v>0.615</v>
      </c>
      <c r="O2" s="1">
        <v>0.293</v>
      </c>
      <c r="P2">
        <v>30218</v>
      </c>
      <c r="Q2">
        <v>442</v>
      </c>
      <c r="R2">
        <v>5</v>
      </c>
      <c r="S2">
        <v>672</v>
      </c>
      <c r="T2">
        <v>1098</v>
      </c>
      <c r="U2">
        <v>5</v>
      </c>
      <c r="V2">
        <v>0</v>
      </c>
      <c r="W2">
        <v>0</v>
      </c>
      <c r="X2">
        <v>51860</v>
      </c>
      <c r="Y2">
        <v>10427</v>
      </c>
      <c r="Z2">
        <v>99540</v>
      </c>
      <c r="AA2" s="1">
        <v>0.517</v>
      </c>
      <c r="AB2">
        <v>1992</v>
      </c>
      <c r="AC2" s="3">
        <v>0.247916666666667</v>
      </c>
      <c r="AD2">
        <v>5</v>
      </c>
      <c r="AE2">
        <v>4449</v>
      </c>
      <c r="AF2">
        <v>9</v>
      </c>
      <c r="AG2">
        <v>50</v>
      </c>
      <c r="AH2">
        <v>1</v>
      </c>
      <c r="AI2">
        <v>2</v>
      </c>
    </row>
    <row r="3" spans="1:35">
      <c r="A3">
        <v>260514</v>
      </c>
      <c r="B3">
        <v>4</v>
      </c>
      <c r="C3" t="s">
        <v>83</v>
      </c>
      <c r="D3" t="s">
        <v>77</v>
      </c>
      <c r="E3">
        <v>39</v>
      </c>
      <c r="F3" t="s">
        <v>30</v>
      </c>
      <c r="G3">
        <f>VLOOKUP(F3,选手工资!$A:$I,9,FALSE)</f>
        <v>4</v>
      </c>
      <c r="H3" t="s">
        <v>210</v>
      </c>
      <c r="I3">
        <v>1</v>
      </c>
      <c r="J3">
        <v>28</v>
      </c>
      <c r="K3">
        <v>16</v>
      </c>
      <c r="L3">
        <v>4</v>
      </c>
      <c r="M3">
        <v>3</v>
      </c>
      <c r="N3" s="1">
        <v>0.487</v>
      </c>
      <c r="O3" s="1">
        <v>0.269</v>
      </c>
      <c r="P3">
        <v>38846</v>
      </c>
      <c r="Q3">
        <v>636</v>
      </c>
      <c r="R3">
        <v>15</v>
      </c>
      <c r="S3">
        <v>939</v>
      </c>
      <c r="T3">
        <v>1089</v>
      </c>
      <c r="U3">
        <v>5</v>
      </c>
      <c r="V3">
        <v>0</v>
      </c>
      <c r="W3">
        <v>2</v>
      </c>
      <c r="X3">
        <v>47603</v>
      </c>
      <c r="Y3">
        <v>16623</v>
      </c>
      <c r="Z3">
        <v>138072</v>
      </c>
      <c r="AA3" s="1">
        <v>0.597</v>
      </c>
      <c r="AB3">
        <v>2432</v>
      </c>
      <c r="AC3" s="3">
        <v>0.159722222222222</v>
      </c>
      <c r="AD3">
        <v>9</v>
      </c>
      <c r="AE3">
        <v>4522</v>
      </c>
      <c r="AF3">
        <v>7</v>
      </c>
      <c r="AG3">
        <v>0</v>
      </c>
      <c r="AH3">
        <v>2</v>
      </c>
      <c r="AI3">
        <v>1</v>
      </c>
    </row>
    <row r="4" spans="1:35">
      <c r="A4">
        <v>260514</v>
      </c>
      <c r="B4">
        <v>4</v>
      </c>
      <c r="C4" t="s">
        <v>83</v>
      </c>
      <c r="D4" t="s">
        <v>77</v>
      </c>
      <c r="E4">
        <v>39</v>
      </c>
      <c r="F4" t="s">
        <v>31</v>
      </c>
      <c r="G4">
        <f>VLOOKUP(F4,选手工资!$A:$I,9,FALSE)</f>
        <v>5.5</v>
      </c>
      <c r="H4" t="s">
        <v>211</v>
      </c>
      <c r="I4">
        <v>3</v>
      </c>
      <c r="J4">
        <v>26</v>
      </c>
      <c r="K4">
        <v>6</v>
      </c>
      <c r="L4">
        <v>8</v>
      </c>
      <c r="M4">
        <v>21</v>
      </c>
      <c r="N4" s="1">
        <v>0.692</v>
      </c>
      <c r="O4" s="1">
        <v>0.196</v>
      </c>
      <c r="P4">
        <v>24046</v>
      </c>
      <c r="Q4">
        <v>273</v>
      </c>
      <c r="R4">
        <v>2</v>
      </c>
      <c r="S4">
        <v>542</v>
      </c>
      <c r="T4">
        <v>877</v>
      </c>
      <c r="U4">
        <v>3</v>
      </c>
      <c r="V4">
        <v>1648</v>
      </c>
      <c r="W4">
        <v>0</v>
      </c>
      <c r="X4">
        <v>34643</v>
      </c>
      <c r="Y4">
        <v>1100</v>
      </c>
      <c r="Z4">
        <v>70579</v>
      </c>
      <c r="AA4" s="1">
        <v>0.53</v>
      </c>
      <c r="AB4">
        <v>1351</v>
      </c>
      <c r="AC4" s="3">
        <v>0.214583333333333</v>
      </c>
      <c r="AD4">
        <v>6</v>
      </c>
      <c r="AE4">
        <v>3353</v>
      </c>
      <c r="AF4">
        <v>6</v>
      </c>
      <c r="AG4">
        <v>130</v>
      </c>
      <c r="AH4">
        <v>1</v>
      </c>
      <c r="AI4">
        <v>1</v>
      </c>
    </row>
    <row r="5" spans="1:35">
      <c r="A5">
        <v>260514</v>
      </c>
      <c r="B5">
        <v>4</v>
      </c>
      <c r="C5" t="s">
        <v>83</v>
      </c>
      <c r="D5" t="s">
        <v>77</v>
      </c>
      <c r="E5">
        <v>39</v>
      </c>
      <c r="F5" t="s">
        <v>38</v>
      </c>
      <c r="G5">
        <f>VLOOKUP(F5,选手工资!$A:$I,9,FALSE)</f>
        <v>2.5</v>
      </c>
      <c r="H5" t="s">
        <v>121</v>
      </c>
      <c r="I5">
        <v>5</v>
      </c>
      <c r="J5">
        <v>22</v>
      </c>
      <c r="K5">
        <v>3</v>
      </c>
      <c r="L5">
        <v>11</v>
      </c>
      <c r="M5">
        <v>20</v>
      </c>
      <c r="N5" s="1">
        <v>0.59</v>
      </c>
      <c r="O5" s="1">
        <v>0.132</v>
      </c>
      <c r="P5">
        <v>16016</v>
      </c>
      <c r="Q5">
        <v>129</v>
      </c>
      <c r="R5">
        <v>1</v>
      </c>
      <c r="S5">
        <v>397</v>
      </c>
      <c r="T5">
        <v>551</v>
      </c>
      <c r="U5">
        <v>0</v>
      </c>
      <c r="V5">
        <v>0</v>
      </c>
      <c r="W5">
        <v>0</v>
      </c>
      <c r="X5">
        <v>23397</v>
      </c>
      <c r="Y5">
        <v>1562</v>
      </c>
      <c r="Z5">
        <v>51422</v>
      </c>
      <c r="AA5" s="1">
        <v>0.406</v>
      </c>
      <c r="AB5">
        <v>1653</v>
      </c>
      <c r="AC5" s="3">
        <v>0.28125</v>
      </c>
      <c r="AD5">
        <v>2</v>
      </c>
      <c r="AE5">
        <v>2057</v>
      </c>
      <c r="AF5">
        <v>6</v>
      </c>
      <c r="AG5">
        <v>550</v>
      </c>
      <c r="AH5">
        <v>2</v>
      </c>
      <c r="AI5">
        <v>12</v>
      </c>
    </row>
    <row r="6" spans="1:35">
      <c r="A6">
        <v>260514</v>
      </c>
      <c r="B6">
        <v>4</v>
      </c>
      <c r="C6" t="s">
        <v>83</v>
      </c>
      <c r="D6" t="s">
        <v>77</v>
      </c>
      <c r="E6">
        <v>39</v>
      </c>
      <c r="F6" t="s">
        <v>28</v>
      </c>
      <c r="G6">
        <f>VLOOKUP(F6,选手工资!$A:$I,9,FALSE)</f>
        <v>5</v>
      </c>
      <c r="H6" t="s">
        <v>95</v>
      </c>
      <c r="I6">
        <v>4</v>
      </c>
      <c r="J6">
        <v>21</v>
      </c>
      <c r="K6">
        <v>3</v>
      </c>
      <c r="L6">
        <v>11</v>
      </c>
      <c r="M6">
        <v>21</v>
      </c>
      <c r="N6" s="1">
        <v>0.615</v>
      </c>
      <c r="O6" s="1">
        <v>0.111</v>
      </c>
      <c r="P6">
        <v>14774</v>
      </c>
      <c r="Q6">
        <v>88</v>
      </c>
      <c r="R6">
        <v>5</v>
      </c>
      <c r="S6">
        <v>382</v>
      </c>
      <c r="T6">
        <v>520</v>
      </c>
      <c r="U6">
        <v>3</v>
      </c>
      <c r="V6">
        <v>960</v>
      </c>
      <c r="W6">
        <v>1</v>
      </c>
      <c r="X6">
        <v>19578</v>
      </c>
      <c r="Y6">
        <v>89</v>
      </c>
      <c r="Z6">
        <v>40875</v>
      </c>
      <c r="AA6" s="1">
        <v>0.478</v>
      </c>
      <c r="AB6">
        <v>1455</v>
      </c>
      <c r="AC6" s="3">
        <v>0.215277777777778</v>
      </c>
      <c r="AD6">
        <v>1</v>
      </c>
      <c r="AE6">
        <v>2138</v>
      </c>
      <c r="AF6">
        <v>5</v>
      </c>
      <c r="AG6">
        <v>1700</v>
      </c>
      <c r="AH6">
        <v>0</v>
      </c>
      <c r="AI6">
        <v>11</v>
      </c>
    </row>
    <row r="7" spans="1:35">
      <c r="A7">
        <v>260514</v>
      </c>
      <c r="B7">
        <v>4</v>
      </c>
      <c r="C7" t="s">
        <v>76</v>
      </c>
      <c r="D7" t="s">
        <v>84</v>
      </c>
      <c r="E7">
        <v>40</v>
      </c>
      <c r="F7" t="s">
        <v>19</v>
      </c>
      <c r="G7">
        <f>VLOOKUP(F7,选手工资!$A:$I,9,FALSE)</f>
        <v>7</v>
      </c>
      <c r="H7" t="s">
        <v>182</v>
      </c>
      <c r="I7">
        <v>2</v>
      </c>
      <c r="J7">
        <v>22</v>
      </c>
      <c r="K7">
        <v>8</v>
      </c>
      <c r="L7">
        <v>8</v>
      </c>
      <c r="M7">
        <v>21</v>
      </c>
      <c r="N7" s="1">
        <v>0.725</v>
      </c>
      <c r="O7" s="1">
        <v>0.138</v>
      </c>
      <c r="P7">
        <v>21579</v>
      </c>
      <c r="Q7">
        <v>294</v>
      </c>
      <c r="R7">
        <v>8</v>
      </c>
      <c r="S7">
        <v>521</v>
      </c>
      <c r="T7">
        <v>574</v>
      </c>
      <c r="U7">
        <v>1</v>
      </c>
      <c r="V7">
        <v>0</v>
      </c>
      <c r="W7">
        <v>1</v>
      </c>
      <c r="X7">
        <v>26008</v>
      </c>
      <c r="Y7">
        <v>11169</v>
      </c>
      <c r="Z7">
        <v>82392</v>
      </c>
      <c r="AA7" s="1">
        <v>0.536</v>
      </c>
      <c r="AB7">
        <v>1639</v>
      </c>
      <c r="AC7" s="3">
        <v>0.23125</v>
      </c>
      <c r="AD7">
        <v>7</v>
      </c>
      <c r="AE7">
        <v>3765</v>
      </c>
      <c r="AF7">
        <v>8</v>
      </c>
      <c r="AG7">
        <v>310</v>
      </c>
      <c r="AH7">
        <v>0</v>
      </c>
      <c r="AI7">
        <v>2</v>
      </c>
    </row>
    <row r="8" spans="1:35">
      <c r="A8">
        <v>260514</v>
      </c>
      <c r="B8">
        <v>4</v>
      </c>
      <c r="C8" t="s">
        <v>76</v>
      </c>
      <c r="D8" t="s">
        <v>84</v>
      </c>
      <c r="E8">
        <v>40</v>
      </c>
      <c r="F8" t="s">
        <v>36</v>
      </c>
      <c r="G8">
        <f>VLOOKUP(F8,选手工资!$A:$I,9,FALSE)</f>
        <v>3.5</v>
      </c>
      <c r="H8" t="s">
        <v>97</v>
      </c>
      <c r="I8">
        <v>3</v>
      </c>
      <c r="J8">
        <v>25</v>
      </c>
      <c r="K8">
        <v>7</v>
      </c>
      <c r="L8">
        <v>5</v>
      </c>
      <c r="M8">
        <v>18</v>
      </c>
      <c r="N8" s="1">
        <v>0.625</v>
      </c>
      <c r="O8" s="1">
        <v>0.173</v>
      </c>
      <c r="P8">
        <v>20018</v>
      </c>
      <c r="Q8">
        <v>266</v>
      </c>
      <c r="R8">
        <v>4</v>
      </c>
      <c r="S8">
        <v>502</v>
      </c>
      <c r="T8">
        <v>750</v>
      </c>
      <c r="U8">
        <v>1</v>
      </c>
      <c r="V8">
        <v>4240</v>
      </c>
      <c r="W8">
        <v>1</v>
      </c>
      <c r="X8">
        <v>32687</v>
      </c>
      <c r="Y8">
        <v>1010</v>
      </c>
      <c r="Z8">
        <v>86126</v>
      </c>
      <c r="AA8" s="1">
        <v>0.548</v>
      </c>
      <c r="AB8">
        <v>2064</v>
      </c>
      <c r="AC8" s="3">
        <v>0.167361111111111</v>
      </c>
      <c r="AD8">
        <v>8</v>
      </c>
      <c r="AE8">
        <v>3386</v>
      </c>
      <c r="AF8">
        <v>8</v>
      </c>
      <c r="AG8">
        <v>0</v>
      </c>
      <c r="AH8">
        <v>0</v>
      </c>
      <c r="AI8">
        <v>1</v>
      </c>
    </row>
    <row r="9" spans="1:35">
      <c r="A9">
        <v>260514</v>
      </c>
      <c r="B9">
        <v>4</v>
      </c>
      <c r="C9" t="s">
        <v>76</v>
      </c>
      <c r="D9" t="s">
        <v>84</v>
      </c>
      <c r="E9">
        <v>40</v>
      </c>
      <c r="F9" t="s">
        <v>14</v>
      </c>
      <c r="G9">
        <f>VLOOKUP(F9,选手工资!$A:$I,9,FALSE)</f>
        <v>9</v>
      </c>
      <c r="H9" t="s">
        <v>139</v>
      </c>
      <c r="I9">
        <v>1</v>
      </c>
      <c r="J9">
        <v>27</v>
      </c>
      <c r="K9">
        <v>18</v>
      </c>
      <c r="L9">
        <v>9</v>
      </c>
      <c r="M9">
        <v>12</v>
      </c>
      <c r="N9" s="1">
        <v>0.75</v>
      </c>
      <c r="O9" s="1">
        <v>0.457</v>
      </c>
      <c r="P9">
        <v>30574</v>
      </c>
      <c r="Q9">
        <v>534</v>
      </c>
      <c r="R9">
        <v>12</v>
      </c>
      <c r="S9">
        <v>768</v>
      </c>
      <c r="T9">
        <v>956</v>
      </c>
      <c r="U9">
        <v>7</v>
      </c>
      <c r="V9">
        <v>0</v>
      </c>
      <c r="W9">
        <v>1</v>
      </c>
      <c r="X9">
        <v>86353</v>
      </c>
      <c r="Y9">
        <v>7517</v>
      </c>
      <c r="Z9">
        <v>96347</v>
      </c>
      <c r="AA9" s="1">
        <v>0.555</v>
      </c>
      <c r="AB9">
        <v>2849</v>
      </c>
      <c r="AC9" s="3">
        <v>0.227083333333333</v>
      </c>
      <c r="AD9">
        <v>10</v>
      </c>
      <c r="AE9">
        <v>4201</v>
      </c>
      <c r="AF9">
        <v>7</v>
      </c>
      <c r="AG9">
        <v>0</v>
      </c>
      <c r="AH9">
        <v>0</v>
      </c>
      <c r="AI9">
        <v>0</v>
      </c>
    </row>
    <row r="10" spans="1:35">
      <c r="A10">
        <v>260514</v>
      </c>
      <c r="B10">
        <v>4</v>
      </c>
      <c r="C10" t="s">
        <v>76</v>
      </c>
      <c r="D10" t="s">
        <v>84</v>
      </c>
      <c r="E10">
        <v>40</v>
      </c>
      <c r="F10" t="s">
        <v>41</v>
      </c>
      <c r="G10">
        <f>VLOOKUP(F10,选手工资!$A:$I,9,FALSE)</f>
        <v>2</v>
      </c>
      <c r="H10" t="s">
        <v>88</v>
      </c>
      <c r="I10">
        <v>5</v>
      </c>
      <c r="J10">
        <v>21</v>
      </c>
      <c r="K10">
        <v>6</v>
      </c>
      <c r="L10">
        <v>10</v>
      </c>
      <c r="M10">
        <v>20</v>
      </c>
      <c r="N10" s="1">
        <v>0.65</v>
      </c>
      <c r="O10" s="1">
        <v>0.104</v>
      </c>
      <c r="P10">
        <v>12028</v>
      </c>
      <c r="Q10">
        <v>54</v>
      </c>
      <c r="R10">
        <v>4</v>
      </c>
      <c r="S10">
        <v>344</v>
      </c>
      <c r="T10">
        <v>525</v>
      </c>
      <c r="U10">
        <v>0</v>
      </c>
      <c r="V10">
        <v>0</v>
      </c>
      <c r="W10">
        <v>0</v>
      </c>
      <c r="X10">
        <v>19664</v>
      </c>
      <c r="Y10">
        <v>266</v>
      </c>
      <c r="Z10">
        <v>58022</v>
      </c>
      <c r="AA10" s="1">
        <v>0.457</v>
      </c>
      <c r="AB10">
        <v>1578</v>
      </c>
      <c r="AC10" s="3">
        <v>0.233333333333333</v>
      </c>
      <c r="AD10">
        <v>3</v>
      </c>
      <c r="AE10">
        <v>2277</v>
      </c>
      <c r="AF10">
        <v>6</v>
      </c>
      <c r="AG10">
        <v>1110</v>
      </c>
      <c r="AH10">
        <v>1</v>
      </c>
      <c r="AI10">
        <v>6</v>
      </c>
    </row>
    <row r="11" spans="1:35">
      <c r="A11">
        <v>260514</v>
      </c>
      <c r="B11">
        <v>4</v>
      </c>
      <c r="C11" t="s">
        <v>76</v>
      </c>
      <c r="D11" t="s">
        <v>84</v>
      </c>
      <c r="E11">
        <v>40</v>
      </c>
      <c r="F11" t="s">
        <v>25</v>
      </c>
      <c r="G11">
        <f>VLOOKUP(F11,选手工资!$A:$I,9,FALSE)</f>
        <v>6.5</v>
      </c>
      <c r="H11" t="s">
        <v>124</v>
      </c>
      <c r="I11">
        <v>4</v>
      </c>
      <c r="J11">
        <v>21</v>
      </c>
      <c r="K11">
        <v>1</v>
      </c>
      <c r="L11">
        <v>9</v>
      </c>
      <c r="M11">
        <v>20</v>
      </c>
      <c r="N11" s="1">
        <v>0.525</v>
      </c>
      <c r="O11" s="1">
        <v>0.128</v>
      </c>
      <c r="P11">
        <v>13211</v>
      </c>
      <c r="Q11">
        <v>116</v>
      </c>
      <c r="R11">
        <v>3</v>
      </c>
      <c r="S11">
        <v>301</v>
      </c>
      <c r="T11">
        <v>515</v>
      </c>
      <c r="U11">
        <v>0</v>
      </c>
      <c r="V11">
        <v>0</v>
      </c>
      <c r="W11">
        <v>0</v>
      </c>
      <c r="X11">
        <v>24087</v>
      </c>
      <c r="Y11">
        <v>0</v>
      </c>
      <c r="Z11">
        <v>43427</v>
      </c>
      <c r="AA11" s="1">
        <v>0.412</v>
      </c>
      <c r="AB11">
        <v>577</v>
      </c>
      <c r="AC11" s="3">
        <v>0.259027777777778</v>
      </c>
      <c r="AD11">
        <v>4</v>
      </c>
      <c r="AE11">
        <v>1901</v>
      </c>
      <c r="AF11">
        <v>4</v>
      </c>
      <c r="AG11">
        <v>880</v>
      </c>
      <c r="AH11">
        <v>9</v>
      </c>
      <c r="AI11">
        <v>4</v>
      </c>
    </row>
    <row r="14" spans="1:35">
      <c r="A14" t="s">
        <v>90</v>
      </c>
      <c r="B14" s="4">
        <v>8810765756</v>
      </c>
      <c r="C14" s="4"/>
    </row>
    <row r="15" spans="1:35">
      <c r="A15" t="s">
        <v>91</v>
      </c>
      <c r="B15" s="7" t="s">
        <v>212</v>
      </c>
    </row>
  </sheetData>
  <sortState ref="A2:AI11">
    <sortCondition ref="C3"/>
  </sortState>
  <mergeCells count="1">
    <mergeCell ref="B14:C14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selection activeCell="A14" sqref="A14:C15"/>
    </sheetView>
  </sheetViews>
  <sheetFormatPr defaultColWidth="9.25" defaultRowHeight="16.8"/>
  <cols>
    <col min="6" max="6" width="8.12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260515</v>
      </c>
      <c r="B2">
        <v>1</v>
      </c>
      <c r="C2" t="s">
        <v>83</v>
      </c>
      <c r="D2" t="s">
        <v>77</v>
      </c>
      <c r="E2">
        <v>62</v>
      </c>
      <c r="F2" t="s">
        <v>30</v>
      </c>
      <c r="G2">
        <f>VLOOKUP(F2,选手工资!$A:$T,10,FALSE)</f>
        <v>5</v>
      </c>
      <c r="H2" t="s">
        <v>103</v>
      </c>
      <c r="I2">
        <v>2</v>
      </c>
      <c r="J2">
        <v>22</v>
      </c>
      <c r="K2">
        <v>17</v>
      </c>
      <c r="L2">
        <v>3</v>
      </c>
      <c r="M2">
        <v>27</v>
      </c>
      <c r="N2" s="1">
        <v>0.71</v>
      </c>
      <c r="O2" s="1">
        <v>0.245</v>
      </c>
      <c r="P2">
        <v>20292</v>
      </c>
      <c r="Q2">
        <v>248</v>
      </c>
      <c r="R2">
        <v>10</v>
      </c>
      <c r="S2">
        <v>670</v>
      </c>
      <c r="T2">
        <v>839</v>
      </c>
      <c r="U2">
        <v>3</v>
      </c>
      <c r="V2">
        <v>0</v>
      </c>
      <c r="W2">
        <v>0</v>
      </c>
      <c r="X2">
        <v>35510</v>
      </c>
      <c r="Y2">
        <v>4750</v>
      </c>
      <c r="Z2">
        <v>34818</v>
      </c>
      <c r="AA2" s="1">
        <v>0.592</v>
      </c>
      <c r="AB2">
        <v>1197</v>
      </c>
      <c r="AC2" s="3">
        <v>0.15</v>
      </c>
      <c r="AD2">
        <v>9</v>
      </c>
      <c r="AE2">
        <v>5468</v>
      </c>
      <c r="AF2">
        <v>10</v>
      </c>
      <c r="AG2">
        <v>50</v>
      </c>
      <c r="AH2">
        <v>0</v>
      </c>
      <c r="AI2">
        <v>0</v>
      </c>
    </row>
    <row r="3" spans="1:35">
      <c r="A3">
        <v>260515</v>
      </c>
      <c r="B3">
        <v>1</v>
      </c>
      <c r="C3" t="s">
        <v>83</v>
      </c>
      <c r="D3" t="s">
        <v>77</v>
      </c>
      <c r="E3">
        <v>62</v>
      </c>
      <c r="F3" t="s">
        <v>14</v>
      </c>
      <c r="G3">
        <f>VLOOKUP(F3,选手工资!$A:$T,10,FALSE)</f>
        <v>9.5</v>
      </c>
      <c r="H3" t="s">
        <v>129</v>
      </c>
      <c r="I3">
        <v>3</v>
      </c>
      <c r="J3">
        <v>24</v>
      </c>
      <c r="K3">
        <v>19</v>
      </c>
      <c r="L3">
        <v>1</v>
      </c>
      <c r="M3">
        <v>22</v>
      </c>
      <c r="N3" s="1">
        <v>0.661</v>
      </c>
      <c r="O3" s="1">
        <v>0.354</v>
      </c>
      <c r="P3">
        <v>22539</v>
      </c>
      <c r="Q3">
        <v>260</v>
      </c>
      <c r="R3">
        <v>16</v>
      </c>
      <c r="S3">
        <v>713</v>
      </c>
      <c r="T3">
        <v>989</v>
      </c>
      <c r="U3">
        <v>2</v>
      </c>
      <c r="V3">
        <v>0</v>
      </c>
      <c r="W3">
        <v>0</v>
      </c>
      <c r="X3">
        <v>51250</v>
      </c>
      <c r="Y3">
        <v>3329</v>
      </c>
      <c r="Z3">
        <v>39823</v>
      </c>
      <c r="AA3" s="1">
        <v>0.443</v>
      </c>
      <c r="AB3">
        <v>830</v>
      </c>
      <c r="AC3" s="3">
        <v>0.0715277777777778</v>
      </c>
      <c r="AD3">
        <v>5</v>
      </c>
      <c r="AE3">
        <v>4426</v>
      </c>
      <c r="AF3">
        <v>7</v>
      </c>
      <c r="AG3">
        <v>0</v>
      </c>
      <c r="AH3">
        <v>1</v>
      </c>
      <c r="AI3">
        <v>0</v>
      </c>
    </row>
    <row r="4" spans="1:35">
      <c r="A4">
        <v>260515</v>
      </c>
      <c r="B4">
        <v>1</v>
      </c>
      <c r="C4" t="s">
        <v>83</v>
      </c>
      <c r="D4" t="s">
        <v>77</v>
      </c>
      <c r="E4">
        <v>62</v>
      </c>
      <c r="F4" t="s">
        <v>32</v>
      </c>
      <c r="G4">
        <f>VLOOKUP(F4,选手工资!$A:$T,10,FALSE)</f>
        <v>4</v>
      </c>
      <c r="H4" t="s">
        <v>156</v>
      </c>
      <c r="I4">
        <v>1</v>
      </c>
      <c r="J4">
        <v>21</v>
      </c>
      <c r="K4">
        <v>6</v>
      </c>
      <c r="L4">
        <v>4</v>
      </c>
      <c r="M4">
        <v>21</v>
      </c>
      <c r="N4" s="1">
        <v>0.435</v>
      </c>
      <c r="O4" s="1">
        <v>0.137</v>
      </c>
      <c r="P4">
        <v>19041</v>
      </c>
      <c r="Q4">
        <v>252</v>
      </c>
      <c r="R4">
        <v>18</v>
      </c>
      <c r="S4">
        <v>599</v>
      </c>
      <c r="T4">
        <v>741</v>
      </c>
      <c r="U4">
        <v>0</v>
      </c>
      <c r="V4">
        <v>0</v>
      </c>
      <c r="W4">
        <v>0</v>
      </c>
      <c r="X4">
        <v>19900</v>
      </c>
      <c r="Y4">
        <v>16169</v>
      </c>
      <c r="Z4">
        <v>18346</v>
      </c>
      <c r="AA4" s="1">
        <v>0.413</v>
      </c>
      <c r="AB4">
        <v>1267</v>
      </c>
      <c r="AC4" s="3">
        <v>0.122222222222222</v>
      </c>
      <c r="AD4">
        <v>6</v>
      </c>
      <c r="AE4">
        <v>3959</v>
      </c>
      <c r="AF4">
        <v>7</v>
      </c>
      <c r="AG4">
        <v>0</v>
      </c>
      <c r="AH4">
        <v>2</v>
      </c>
      <c r="AI4">
        <v>2</v>
      </c>
    </row>
    <row r="5" spans="1:35">
      <c r="A5">
        <v>260515</v>
      </c>
      <c r="B5">
        <v>1</v>
      </c>
      <c r="C5" t="s">
        <v>83</v>
      </c>
      <c r="D5" t="s">
        <v>77</v>
      </c>
      <c r="E5">
        <v>62</v>
      </c>
      <c r="F5" t="s">
        <v>23</v>
      </c>
      <c r="G5">
        <f>VLOOKUP(F5,选手工资!$A:$T,10,FALSE)</f>
        <v>6</v>
      </c>
      <c r="H5" t="s">
        <v>98</v>
      </c>
      <c r="I5">
        <v>4</v>
      </c>
      <c r="J5">
        <v>19</v>
      </c>
      <c r="K5">
        <v>12</v>
      </c>
      <c r="L5">
        <v>6</v>
      </c>
      <c r="M5">
        <v>29</v>
      </c>
      <c r="N5" s="1">
        <v>0.661</v>
      </c>
      <c r="O5" s="1">
        <v>0.112</v>
      </c>
      <c r="P5">
        <v>10480</v>
      </c>
      <c r="Q5">
        <v>17</v>
      </c>
      <c r="R5">
        <v>3</v>
      </c>
      <c r="S5">
        <v>356</v>
      </c>
      <c r="T5">
        <v>591</v>
      </c>
      <c r="U5">
        <v>1</v>
      </c>
      <c r="V5">
        <v>0</v>
      </c>
      <c r="W5">
        <v>1</v>
      </c>
      <c r="X5">
        <v>16187</v>
      </c>
      <c r="Y5">
        <v>177</v>
      </c>
      <c r="Z5">
        <v>22132</v>
      </c>
      <c r="AA5" s="1">
        <v>0.305</v>
      </c>
      <c r="AB5">
        <v>1007</v>
      </c>
      <c r="AC5" s="3">
        <v>0.213194444444444</v>
      </c>
      <c r="AD5">
        <v>1</v>
      </c>
      <c r="AE5">
        <v>2518</v>
      </c>
      <c r="AF5">
        <v>6</v>
      </c>
      <c r="AG5">
        <v>400</v>
      </c>
      <c r="AH5">
        <v>1</v>
      </c>
      <c r="AI5">
        <v>7</v>
      </c>
    </row>
    <row r="6" spans="1:35">
      <c r="A6">
        <v>260515</v>
      </c>
      <c r="B6">
        <v>1</v>
      </c>
      <c r="C6" t="s">
        <v>83</v>
      </c>
      <c r="D6" t="s">
        <v>77</v>
      </c>
      <c r="E6">
        <v>62</v>
      </c>
      <c r="F6" t="s">
        <v>24</v>
      </c>
      <c r="G6">
        <f>VLOOKUP(F6,选手工资!$A:$T,10,FALSE)</f>
        <v>6</v>
      </c>
      <c r="H6" t="s">
        <v>168</v>
      </c>
      <c r="I6">
        <v>5</v>
      </c>
      <c r="J6">
        <v>18</v>
      </c>
      <c r="K6">
        <v>7</v>
      </c>
      <c r="L6">
        <v>11</v>
      </c>
      <c r="M6">
        <v>39</v>
      </c>
      <c r="N6" s="1">
        <v>0.742</v>
      </c>
      <c r="O6" s="1">
        <v>0.152</v>
      </c>
      <c r="P6">
        <v>13429</v>
      </c>
      <c r="Q6">
        <v>70</v>
      </c>
      <c r="R6">
        <v>2</v>
      </c>
      <c r="S6">
        <v>449</v>
      </c>
      <c r="T6">
        <v>546</v>
      </c>
      <c r="U6">
        <v>1</v>
      </c>
      <c r="V6">
        <v>1852</v>
      </c>
      <c r="W6">
        <v>0</v>
      </c>
      <c r="X6">
        <v>22022</v>
      </c>
      <c r="Y6">
        <v>4541</v>
      </c>
      <c r="Z6">
        <v>23886</v>
      </c>
      <c r="AA6" s="1">
        <v>0.369</v>
      </c>
      <c r="AB6">
        <v>1064</v>
      </c>
      <c r="AC6" s="3">
        <v>0.230555555555556</v>
      </c>
      <c r="AD6">
        <v>2</v>
      </c>
      <c r="AE6">
        <v>2393</v>
      </c>
      <c r="AF6">
        <v>5</v>
      </c>
      <c r="AG6">
        <v>800</v>
      </c>
      <c r="AH6">
        <v>0</v>
      </c>
      <c r="AI6">
        <v>3</v>
      </c>
    </row>
    <row r="7" spans="1:35">
      <c r="A7">
        <v>260515</v>
      </c>
      <c r="B7">
        <v>1</v>
      </c>
      <c r="C7" t="s">
        <v>76</v>
      </c>
      <c r="D7" t="s">
        <v>84</v>
      </c>
      <c r="E7">
        <v>27</v>
      </c>
      <c r="F7" t="s">
        <v>17</v>
      </c>
      <c r="G7">
        <f>VLOOKUP(F7,选手工资!$A:$T,10,FALSE)</f>
        <v>8</v>
      </c>
      <c r="H7" t="s">
        <v>102</v>
      </c>
      <c r="I7">
        <v>2</v>
      </c>
      <c r="J7">
        <v>19</v>
      </c>
      <c r="K7">
        <v>5</v>
      </c>
      <c r="L7">
        <v>8</v>
      </c>
      <c r="M7">
        <v>5</v>
      </c>
      <c r="N7" s="1">
        <v>0.37</v>
      </c>
      <c r="O7" s="1">
        <v>0.232</v>
      </c>
      <c r="P7">
        <v>15456</v>
      </c>
      <c r="Q7">
        <v>226</v>
      </c>
      <c r="R7">
        <v>7</v>
      </c>
      <c r="S7">
        <v>481</v>
      </c>
      <c r="T7">
        <v>614</v>
      </c>
      <c r="U7">
        <v>3</v>
      </c>
      <c r="V7">
        <v>0</v>
      </c>
      <c r="W7">
        <v>0</v>
      </c>
      <c r="X7">
        <v>17981</v>
      </c>
      <c r="Y7">
        <v>0</v>
      </c>
      <c r="Z7">
        <v>37120</v>
      </c>
      <c r="AA7" s="1">
        <v>0.361</v>
      </c>
      <c r="AB7">
        <v>1031</v>
      </c>
      <c r="AC7" s="3">
        <v>0.2125</v>
      </c>
      <c r="AD7">
        <v>8</v>
      </c>
      <c r="AE7">
        <v>4245</v>
      </c>
      <c r="AF7">
        <v>9</v>
      </c>
      <c r="AG7">
        <v>100</v>
      </c>
      <c r="AH7">
        <v>1</v>
      </c>
      <c r="AI7">
        <v>3</v>
      </c>
    </row>
    <row r="8" spans="1:35">
      <c r="A8">
        <v>260515</v>
      </c>
      <c r="B8">
        <v>1</v>
      </c>
      <c r="C8" t="s">
        <v>76</v>
      </c>
      <c r="D8" t="s">
        <v>84</v>
      </c>
      <c r="E8">
        <v>27</v>
      </c>
      <c r="F8" t="s">
        <v>15</v>
      </c>
      <c r="G8">
        <f>VLOOKUP(F8,选手工资!$A:$T,10,FALSE)</f>
        <v>8.5</v>
      </c>
      <c r="H8" t="s">
        <v>80</v>
      </c>
      <c r="I8">
        <v>3</v>
      </c>
      <c r="J8">
        <v>20</v>
      </c>
      <c r="K8">
        <v>6</v>
      </c>
      <c r="L8">
        <v>13</v>
      </c>
      <c r="M8">
        <v>15</v>
      </c>
      <c r="N8" s="1">
        <v>0.778</v>
      </c>
      <c r="O8" s="1">
        <v>0.266</v>
      </c>
      <c r="P8">
        <v>12140</v>
      </c>
      <c r="Q8">
        <v>178</v>
      </c>
      <c r="R8">
        <v>5</v>
      </c>
      <c r="S8">
        <v>447</v>
      </c>
      <c r="T8">
        <v>647</v>
      </c>
      <c r="U8">
        <v>1</v>
      </c>
      <c r="V8">
        <v>3696</v>
      </c>
      <c r="W8">
        <v>0</v>
      </c>
      <c r="X8">
        <v>20637</v>
      </c>
      <c r="Y8">
        <v>0</v>
      </c>
      <c r="Z8">
        <v>51450</v>
      </c>
      <c r="AA8" s="1">
        <v>0.335</v>
      </c>
      <c r="AB8">
        <v>1821</v>
      </c>
      <c r="AC8" s="3">
        <v>0.327083333333333</v>
      </c>
      <c r="AD8">
        <v>4</v>
      </c>
      <c r="AE8">
        <v>3386</v>
      </c>
      <c r="AF8">
        <v>7</v>
      </c>
      <c r="AG8">
        <v>0</v>
      </c>
      <c r="AH8">
        <v>1</v>
      </c>
      <c r="AI8">
        <v>0</v>
      </c>
    </row>
    <row r="9" spans="1:35">
      <c r="A9">
        <v>260515</v>
      </c>
      <c r="B9">
        <v>1</v>
      </c>
      <c r="C9" t="s">
        <v>76</v>
      </c>
      <c r="D9" t="s">
        <v>84</v>
      </c>
      <c r="E9">
        <v>27</v>
      </c>
      <c r="F9" t="s">
        <v>18</v>
      </c>
      <c r="G9">
        <f>VLOOKUP(F9,选手工资!$A:$T,10,FALSE)</f>
        <v>7</v>
      </c>
      <c r="H9" t="s">
        <v>118</v>
      </c>
      <c r="I9">
        <v>1</v>
      </c>
      <c r="J9">
        <v>20</v>
      </c>
      <c r="K9">
        <v>3</v>
      </c>
      <c r="L9">
        <v>7</v>
      </c>
      <c r="M9">
        <v>11</v>
      </c>
      <c r="N9" s="1">
        <v>0.519</v>
      </c>
      <c r="O9" s="1">
        <v>0.116</v>
      </c>
      <c r="P9">
        <v>15361</v>
      </c>
      <c r="Q9">
        <v>274</v>
      </c>
      <c r="R9">
        <v>5</v>
      </c>
      <c r="S9">
        <v>480</v>
      </c>
      <c r="T9">
        <v>686</v>
      </c>
      <c r="U9">
        <v>1</v>
      </c>
      <c r="V9">
        <v>0</v>
      </c>
      <c r="W9">
        <v>0</v>
      </c>
      <c r="X9">
        <v>9040</v>
      </c>
      <c r="Y9">
        <v>0</v>
      </c>
      <c r="Z9">
        <v>39935</v>
      </c>
      <c r="AA9" s="1">
        <v>0.306</v>
      </c>
      <c r="AB9">
        <v>1254</v>
      </c>
      <c r="AC9" s="3">
        <v>0.1875</v>
      </c>
      <c r="AD9">
        <v>10</v>
      </c>
      <c r="AE9">
        <v>3461</v>
      </c>
      <c r="AF9">
        <v>6</v>
      </c>
      <c r="AG9">
        <v>0</v>
      </c>
      <c r="AH9">
        <v>1</v>
      </c>
      <c r="AI9">
        <v>0</v>
      </c>
    </row>
    <row r="10" spans="1:35">
      <c r="A10">
        <v>260515</v>
      </c>
      <c r="B10">
        <v>1</v>
      </c>
      <c r="C10" t="s">
        <v>76</v>
      </c>
      <c r="D10" t="s">
        <v>84</v>
      </c>
      <c r="E10">
        <v>27</v>
      </c>
      <c r="F10" t="s">
        <v>42</v>
      </c>
      <c r="G10">
        <f>VLOOKUP(F10,选手工资!$A:$T,10,FALSE)</f>
        <v>2</v>
      </c>
      <c r="H10" t="s">
        <v>126</v>
      </c>
      <c r="I10">
        <v>4</v>
      </c>
      <c r="J10">
        <v>15</v>
      </c>
      <c r="K10">
        <v>7</v>
      </c>
      <c r="L10">
        <v>15</v>
      </c>
      <c r="M10">
        <v>15</v>
      </c>
      <c r="N10" s="1">
        <v>0.815</v>
      </c>
      <c r="O10" s="1">
        <v>0.202</v>
      </c>
      <c r="P10">
        <v>8945</v>
      </c>
      <c r="Q10">
        <v>36</v>
      </c>
      <c r="R10">
        <v>1</v>
      </c>
      <c r="S10">
        <v>323</v>
      </c>
      <c r="T10">
        <v>381</v>
      </c>
      <c r="U10">
        <v>1</v>
      </c>
      <c r="V10">
        <v>0</v>
      </c>
      <c r="W10">
        <v>0</v>
      </c>
      <c r="X10">
        <v>15686</v>
      </c>
      <c r="Y10">
        <v>0</v>
      </c>
      <c r="Z10">
        <v>46696</v>
      </c>
      <c r="AA10" s="1">
        <v>0.291</v>
      </c>
      <c r="AB10">
        <v>1316</v>
      </c>
      <c r="AC10" s="3">
        <v>0.325694444444444</v>
      </c>
      <c r="AD10">
        <v>7</v>
      </c>
      <c r="AE10">
        <v>2537</v>
      </c>
      <c r="AF10">
        <v>5</v>
      </c>
      <c r="AG10">
        <v>350</v>
      </c>
      <c r="AH10">
        <v>1</v>
      </c>
      <c r="AI10">
        <v>2</v>
      </c>
    </row>
    <row r="11" spans="1:35">
      <c r="A11">
        <v>260515</v>
      </c>
      <c r="B11">
        <v>1</v>
      </c>
      <c r="C11" t="s">
        <v>76</v>
      </c>
      <c r="D11" t="s">
        <v>84</v>
      </c>
      <c r="E11">
        <v>27</v>
      </c>
      <c r="F11" t="s">
        <v>34</v>
      </c>
      <c r="G11">
        <f>VLOOKUP(F11,选手工资!$A:$T,10,FALSE)</f>
        <v>4</v>
      </c>
      <c r="H11" t="s">
        <v>167</v>
      </c>
      <c r="I11">
        <v>5</v>
      </c>
      <c r="J11">
        <v>16</v>
      </c>
      <c r="K11">
        <v>5</v>
      </c>
      <c r="L11">
        <v>19</v>
      </c>
      <c r="M11">
        <v>13</v>
      </c>
      <c r="N11" s="1">
        <v>0.667</v>
      </c>
      <c r="O11" s="1">
        <v>0.184</v>
      </c>
      <c r="P11">
        <v>10352</v>
      </c>
      <c r="Q11">
        <v>21</v>
      </c>
      <c r="R11">
        <v>2</v>
      </c>
      <c r="S11">
        <v>359</v>
      </c>
      <c r="T11">
        <v>444</v>
      </c>
      <c r="U11">
        <v>2</v>
      </c>
      <c r="V11">
        <v>112</v>
      </c>
      <c r="W11">
        <v>0</v>
      </c>
      <c r="X11">
        <v>14267</v>
      </c>
      <c r="Y11">
        <v>0</v>
      </c>
      <c r="Z11">
        <v>38596</v>
      </c>
      <c r="AA11" s="1">
        <v>0.324</v>
      </c>
      <c r="AB11">
        <v>983</v>
      </c>
      <c r="AC11" s="3">
        <v>0.386805555555556</v>
      </c>
      <c r="AD11">
        <v>3</v>
      </c>
      <c r="AE11">
        <v>1872</v>
      </c>
      <c r="AF11">
        <v>4</v>
      </c>
      <c r="AG11">
        <v>500</v>
      </c>
      <c r="AH11">
        <v>1</v>
      </c>
      <c r="AI11">
        <v>10</v>
      </c>
    </row>
    <row r="14" spans="1:35">
      <c r="A14" t="s">
        <v>90</v>
      </c>
      <c r="B14" s="4">
        <v>8811779749</v>
      </c>
      <c r="C14" s="4"/>
    </row>
    <row r="15" spans="1:35">
      <c r="A15" t="s">
        <v>91</v>
      </c>
      <c r="B15" s="7" t="s">
        <v>213</v>
      </c>
    </row>
  </sheetData>
  <autoFilter xmlns:etc="http://www.wps.cn/officeDocument/2017/etCustomData" ref="A1:AI11" etc:filterBottomFollowUsedRange="0">
    <extLst/>
  </autoFilter>
  <mergeCells count="1">
    <mergeCell ref="B14:C14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selection activeCell="A14" sqref="A14:C15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260515</v>
      </c>
      <c r="B2">
        <v>2</v>
      </c>
      <c r="C2" t="s">
        <v>83</v>
      </c>
      <c r="D2" t="s">
        <v>84</v>
      </c>
      <c r="E2">
        <v>18</v>
      </c>
      <c r="F2" t="s">
        <v>17</v>
      </c>
      <c r="G2">
        <f>VLOOKUP(F2,选手工资!$A:$T,10,FALSE)</f>
        <v>8</v>
      </c>
      <c r="H2" t="s">
        <v>178</v>
      </c>
      <c r="I2">
        <v>2</v>
      </c>
      <c r="J2">
        <v>18</v>
      </c>
      <c r="K2">
        <v>8</v>
      </c>
      <c r="L2">
        <v>5</v>
      </c>
      <c r="M2">
        <v>6</v>
      </c>
      <c r="N2" s="1">
        <v>0.778</v>
      </c>
      <c r="O2" s="1">
        <v>0.375</v>
      </c>
      <c r="P2">
        <v>18004</v>
      </c>
      <c r="Q2">
        <v>221</v>
      </c>
      <c r="R2">
        <v>5</v>
      </c>
      <c r="S2">
        <v>499</v>
      </c>
      <c r="T2">
        <v>498</v>
      </c>
      <c r="U2">
        <v>1</v>
      </c>
      <c r="V2">
        <v>4936</v>
      </c>
      <c r="W2">
        <v>1</v>
      </c>
      <c r="X2">
        <v>34973</v>
      </c>
      <c r="Y2">
        <v>488</v>
      </c>
      <c r="Z2">
        <v>33159</v>
      </c>
      <c r="AA2" s="1">
        <v>0.265</v>
      </c>
      <c r="AB2">
        <v>867</v>
      </c>
      <c r="AC2" s="3">
        <v>0.134027777777778</v>
      </c>
      <c r="AD2">
        <v>9</v>
      </c>
      <c r="AE2">
        <v>4433</v>
      </c>
      <c r="AF2">
        <v>8</v>
      </c>
      <c r="AG2">
        <v>0</v>
      </c>
      <c r="AH2">
        <v>1</v>
      </c>
      <c r="AI2">
        <v>1</v>
      </c>
    </row>
    <row r="3" spans="1:35">
      <c r="A3">
        <v>260515</v>
      </c>
      <c r="B3">
        <v>2</v>
      </c>
      <c r="C3" t="s">
        <v>83</v>
      </c>
      <c r="D3" t="s">
        <v>84</v>
      </c>
      <c r="E3">
        <v>18</v>
      </c>
      <c r="F3" t="s">
        <v>34</v>
      </c>
      <c r="G3">
        <f>VLOOKUP(F3,选手工资!$A:$T,10,FALSE)</f>
        <v>4</v>
      </c>
      <c r="H3" t="s">
        <v>118</v>
      </c>
      <c r="I3">
        <v>1</v>
      </c>
      <c r="J3">
        <v>21</v>
      </c>
      <c r="K3">
        <v>2</v>
      </c>
      <c r="L3">
        <v>7</v>
      </c>
      <c r="M3">
        <v>5</v>
      </c>
      <c r="N3" s="1">
        <v>0.389</v>
      </c>
      <c r="O3" s="1">
        <v>0.139</v>
      </c>
      <c r="P3">
        <v>16541</v>
      </c>
      <c r="Q3">
        <v>342</v>
      </c>
      <c r="R3">
        <v>13</v>
      </c>
      <c r="S3">
        <v>502</v>
      </c>
      <c r="T3">
        <v>644</v>
      </c>
      <c r="U3">
        <v>3</v>
      </c>
      <c r="V3">
        <v>0</v>
      </c>
      <c r="W3">
        <v>0</v>
      </c>
      <c r="X3">
        <v>12994</v>
      </c>
      <c r="Y3">
        <v>93</v>
      </c>
      <c r="Z3">
        <v>58934</v>
      </c>
      <c r="AA3" s="1">
        <v>0.379</v>
      </c>
      <c r="AB3">
        <v>2210</v>
      </c>
      <c r="AC3" s="3">
        <v>0.25</v>
      </c>
      <c r="AD3">
        <v>5</v>
      </c>
      <c r="AE3">
        <v>3815</v>
      </c>
      <c r="AF3">
        <v>7</v>
      </c>
      <c r="AG3">
        <v>0</v>
      </c>
      <c r="AH3">
        <v>3</v>
      </c>
      <c r="AI3">
        <v>0</v>
      </c>
    </row>
    <row r="4" spans="1:35">
      <c r="A4">
        <v>260515</v>
      </c>
      <c r="B4">
        <v>2</v>
      </c>
      <c r="C4" t="s">
        <v>83</v>
      </c>
      <c r="D4" t="s">
        <v>84</v>
      </c>
      <c r="E4">
        <v>18</v>
      </c>
      <c r="F4" t="s">
        <v>29</v>
      </c>
      <c r="G4">
        <f>VLOOKUP(F4,选手工资!$A:$T,10,FALSE)</f>
        <v>5</v>
      </c>
      <c r="H4" t="s">
        <v>159</v>
      </c>
      <c r="I4">
        <v>3</v>
      </c>
      <c r="J4">
        <v>17</v>
      </c>
      <c r="K4">
        <v>0</v>
      </c>
      <c r="L4">
        <v>11</v>
      </c>
      <c r="M4">
        <v>7</v>
      </c>
      <c r="N4" s="1">
        <v>0.389</v>
      </c>
      <c r="O4" s="1">
        <v>0.146</v>
      </c>
      <c r="P4">
        <v>10293</v>
      </c>
      <c r="Q4">
        <v>161</v>
      </c>
      <c r="R4">
        <v>6</v>
      </c>
      <c r="S4">
        <v>335</v>
      </c>
      <c r="T4">
        <v>468</v>
      </c>
      <c r="U4">
        <v>2</v>
      </c>
      <c r="V4">
        <v>0</v>
      </c>
      <c r="W4">
        <v>0</v>
      </c>
      <c r="X4">
        <v>13590</v>
      </c>
      <c r="Y4">
        <v>251</v>
      </c>
      <c r="Z4">
        <v>46826</v>
      </c>
      <c r="AA4" s="1">
        <v>0.319</v>
      </c>
      <c r="AB4">
        <v>1982</v>
      </c>
      <c r="AC4" s="3">
        <v>0.302777777777778</v>
      </c>
      <c r="AD4">
        <v>2</v>
      </c>
      <c r="AE4">
        <v>2988</v>
      </c>
      <c r="AF4">
        <v>6</v>
      </c>
      <c r="AG4">
        <v>0</v>
      </c>
      <c r="AH4">
        <v>1</v>
      </c>
      <c r="AI4">
        <v>0</v>
      </c>
    </row>
    <row r="5" spans="1:35">
      <c r="A5">
        <v>260515</v>
      </c>
      <c r="B5">
        <v>2</v>
      </c>
      <c r="C5" t="s">
        <v>83</v>
      </c>
      <c r="D5" t="s">
        <v>84</v>
      </c>
      <c r="E5">
        <v>18</v>
      </c>
      <c r="F5" t="s">
        <v>27</v>
      </c>
      <c r="G5">
        <f>VLOOKUP(F5,选手工资!$A:$T,10,FALSE)</f>
        <v>5.5</v>
      </c>
      <c r="H5" t="s">
        <v>157</v>
      </c>
      <c r="I5">
        <v>4</v>
      </c>
      <c r="J5">
        <v>19</v>
      </c>
      <c r="K5">
        <v>3</v>
      </c>
      <c r="L5">
        <v>11</v>
      </c>
      <c r="M5">
        <v>4</v>
      </c>
      <c r="N5" s="1">
        <v>0.389</v>
      </c>
      <c r="O5" s="1">
        <v>0.183</v>
      </c>
      <c r="P5">
        <v>9353</v>
      </c>
      <c r="Q5">
        <v>215</v>
      </c>
      <c r="R5">
        <v>0</v>
      </c>
      <c r="S5">
        <v>439</v>
      </c>
      <c r="T5">
        <v>551</v>
      </c>
      <c r="U5">
        <v>3</v>
      </c>
      <c r="V5">
        <v>0</v>
      </c>
      <c r="W5">
        <v>0</v>
      </c>
      <c r="X5">
        <v>17035</v>
      </c>
      <c r="Y5">
        <v>1275</v>
      </c>
      <c r="Z5">
        <v>31901</v>
      </c>
      <c r="AA5" s="1">
        <v>0.324</v>
      </c>
      <c r="AB5">
        <v>1681</v>
      </c>
      <c r="AC5" s="3">
        <v>0.259722222222222</v>
      </c>
      <c r="AD5">
        <v>1</v>
      </c>
      <c r="AE5">
        <v>2486</v>
      </c>
      <c r="AF5">
        <v>5</v>
      </c>
      <c r="AG5">
        <v>200</v>
      </c>
      <c r="AH5">
        <v>3</v>
      </c>
      <c r="AI5">
        <v>0</v>
      </c>
    </row>
    <row r="6" spans="1:35">
      <c r="A6">
        <v>260515</v>
      </c>
      <c r="B6">
        <v>2</v>
      </c>
      <c r="C6" t="s">
        <v>83</v>
      </c>
      <c r="D6" t="s">
        <v>84</v>
      </c>
      <c r="E6">
        <v>18</v>
      </c>
      <c r="F6" t="s">
        <v>39</v>
      </c>
      <c r="G6">
        <f>VLOOKUP(F6,选手工资!$A:$T,10,FALSE)</f>
        <v>2</v>
      </c>
      <c r="H6" t="s">
        <v>79</v>
      </c>
      <c r="I6">
        <v>5</v>
      </c>
      <c r="J6">
        <v>14</v>
      </c>
      <c r="K6">
        <v>4</v>
      </c>
      <c r="L6">
        <v>12</v>
      </c>
      <c r="M6">
        <v>11</v>
      </c>
      <c r="N6" s="1">
        <v>0.833</v>
      </c>
      <c r="O6" s="1">
        <v>0.157</v>
      </c>
      <c r="P6">
        <v>7345</v>
      </c>
      <c r="Q6">
        <v>17</v>
      </c>
      <c r="R6">
        <v>3</v>
      </c>
      <c r="S6">
        <v>271</v>
      </c>
      <c r="T6">
        <v>325</v>
      </c>
      <c r="U6">
        <v>0</v>
      </c>
      <c r="V6">
        <v>0</v>
      </c>
      <c r="W6">
        <v>1</v>
      </c>
      <c r="X6">
        <v>14627</v>
      </c>
      <c r="Y6">
        <v>74</v>
      </c>
      <c r="Z6">
        <v>28396</v>
      </c>
      <c r="AA6" s="1">
        <v>0.308</v>
      </c>
      <c r="AB6">
        <v>1108</v>
      </c>
      <c r="AC6" s="3">
        <v>0.304861111111111</v>
      </c>
      <c r="AD6">
        <v>6</v>
      </c>
      <c r="AE6">
        <v>1902</v>
      </c>
      <c r="AF6">
        <v>5</v>
      </c>
      <c r="AG6">
        <v>850</v>
      </c>
      <c r="AH6">
        <v>0</v>
      </c>
      <c r="AI6">
        <v>5</v>
      </c>
    </row>
    <row r="7" spans="1:35">
      <c r="A7">
        <v>260515</v>
      </c>
      <c r="B7">
        <v>2</v>
      </c>
      <c r="C7" t="s">
        <v>76</v>
      </c>
      <c r="D7" t="s">
        <v>77</v>
      </c>
      <c r="E7">
        <v>46</v>
      </c>
      <c r="F7" t="s">
        <v>32</v>
      </c>
      <c r="G7">
        <f>VLOOKUP(F7,选手工资!$A:$T,10,FALSE)</f>
        <v>4</v>
      </c>
      <c r="H7" t="s">
        <v>96</v>
      </c>
      <c r="I7">
        <v>2</v>
      </c>
      <c r="J7">
        <v>24</v>
      </c>
      <c r="K7">
        <v>11</v>
      </c>
      <c r="L7">
        <v>2</v>
      </c>
      <c r="M7">
        <v>17</v>
      </c>
      <c r="N7" s="1">
        <v>0.609</v>
      </c>
      <c r="O7" s="1">
        <v>0.199</v>
      </c>
      <c r="P7">
        <v>22471</v>
      </c>
      <c r="Q7">
        <v>270</v>
      </c>
      <c r="R7">
        <v>4</v>
      </c>
      <c r="S7">
        <v>612</v>
      </c>
      <c r="T7">
        <v>859</v>
      </c>
      <c r="U7">
        <v>2</v>
      </c>
      <c r="V7">
        <v>13821</v>
      </c>
      <c r="W7">
        <v>1</v>
      </c>
      <c r="X7">
        <v>27398</v>
      </c>
      <c r="Y7">
        <v>3197</v>
      </c>
      <c r="Z7">
        <v>40716</v>
      </c>
      <c r="AA7" s="1">
        <v>0.494</v>
      </c>
      <c r="AB7">
        <v>514</v>
      </c>
      <c r="AC7" s="3">
        <v>0.0659722222222222</v>
      </c>
      <c r="AD7">
        <v>3</v>
      </c>
      <c r="AE7">
        <v>5269</v>
      </c>
      <c r="AF7">
        <v>9</v>
      </c>
      <c r="AG7">
        <v>0</v>
      </c>
      <c r="AH7">
        <v>0</v>
      </c>
      <c r="AI7">
        <v>0</v>
      </c>
    </row>
    <row r="8" spans="1:35">
      <c r="A8">
        <v>260515</v>
      </c>
      <c r="B8">
        <v>2</v>
      </c>
      <c r="C8" t="s">
        <v>76</v>
      </c>
      <c r="D8" t="s">
        <v>77</v>
      </c>
      <c r="E8">
        <v>46</v>
      </c>
      <c r="F8" t="s">
        <v>18</v>
      </c>
      <c r="G8">
        <f>VLOOKUP(F8,选手工资!$A:$T,10,FALSE)</f>
        <v>7</v>
      </c>
      <c r="H8" t="s">
        <v>110</v>
      </c>
      <c r="I8">
        <v>1</v>
      </c>
      <c r="J8">
        <v>25</v>
      </c>
      <c r="K8">
        <v>21</v>
      </c>
      <c r="L8">
        <v>2</v>
      </c>
      <c r="M8">
        <v>10</v>
      </c>
      <c r="N8" s="1">
        <v>0.674</v>
      </c>
      <c r="O8" s="1">
        <v>0.422</v>
      </c>
      <c r="P8">
        <v>32245</v>
      </c>
      <c r="Q8">
        <v>359</v>
      </c>
      <c r="R8">
        <v>15</v>
      </c>
      <c r="S8">
        <v>767</v>
      </c>
      <c r="T8">
        <v>934</v>
      </c>
      <c r="U8">
        <v>1</v>
      </c>
      <c r="V8">
        <v>0</v>
      </c>
      <c r="W8">
        <v>0</v>
      </c>
      <c r="X8">
        <v>57929</v>
      </c>
      <c r="Y8">
        <v>9669</v>
      </c>
      <c r="Z8">
        <v>27379</v>
      </c>
      <c r="AA8" s="1">
        <v>0.472</v>
      </c>
      <c r="AB8">
        <v>704</v>
      </c>
      <c r="AC8" s="3">
        <v>0.0770833333333333</v>
      </c>
      <c r="AD8">
        <v>10</v>
      </c>
      <c r="AE8">
        <v>5388</v>
      </c>
      <c r="AF8">
        <v>7</v>
      </c>
      <c r="AG8">
        <v>160</v>
      </c>
      <c r="AH8">
        <v>1</v>
      </c>
      <c r="AI8">
        <v>0</v>
      </c>
    </row>
    <row r="9" spans="1:35">
      <c r="A9">
        <v>260515</v>
      </c>
      <c r="B9">
        <v>2</v>
      </c>
      <c r="C9" t="s">
        <v>76</v>
      </c>
      <c r="D9" t="s">
        <v>77</v>
      </c>
      <c r="E9">
        <v>46</v>
      </c>
      <c r="F9" t="s">
        <v>22</v>
      </c>
      <c r="G9">
        <f>VLOOKUP(F9,选手工资!$A:$T,10,FALSE)</f>
        <v>6</v>
      </c>
      <c r="H9" t="s">
        <v>149</v>
      </c>
      <c r="I9">
        <v>3</v>
      </c>
      <c r="J9">
        <v>23</v>
      </c>
      <c r="K9">
        <v>9</v>
      </c>
      <c r="L9">
        <v>3</v>
      </c>
      <c r="M9">
        <v>22</v>
      </c>
      <c r="N9" s="1">
        <v>0.674</v>
      </c>
      <c r="O9" s="1">
        <v>0.224</v>
      </c>
      <c r="P9">
        <v>17780</v>
      </c>
      <c r="Q9">
        <v>148</v>
      </c>
      <c r="R9">
        <v>3</v>
      </c>
      <c r="S9">
        <v>490</v>
      </c>
      <c r="T9">
        <v>804</v>
      </c>
      <c r="U9">
        <v>2</v>
      </c>
      <c r="V9">
        <v>0</v>
      </c>
      <c r="W9">
        <v>1</v>
      </c>
      <c r="X9">
        <v>30729</v>
      </c>
      <c r="Y9">
        <v>1271</v>
      </c>
      <c r="Z9">
        <v>42497</v>
      </c>
      <c r="AA9" s="1">
        <v>0.382</v>
      </c>
      <c r="AB9">
        <v>562</v>
      </c>
      <c r="AC9" s="3">
        <v>0.0923611111111111</v>
      </c>
      <c r="AD9">
        <v>7</v>
      </c>
      <c r="AE9">
        <v>3357</v>
      </c>
      <c r="AF9">
        <v>6</v>
      </c>
      <c r="AG9">
        <v>80</v>
      </c>
      <c r="AH9">
        <v>0</v>
      </c>
      <c r="AI9">
        <v>0</v>
      </c>
    </row>
    <row r="10" spans="1:35">
      <c r="A10">
        <v>260515</v>
      </c>
      <c r="B10">
        <v>2</v>
      </c>
      <c r="C10" t="s">
        <v>76</v>
      </c>
      <c r="D10" t="s">
        <v>77</v>
      </c>
      <c r="E10">
        <v>46</v>
      </c>
      <c r="F10" t="s">
        <v>24</v>
      </c>
      <c r="G10">
        <f>VLOOKUP(F10,选手工资!$A:$T,10,FALSE)</f>
        <v>6</v>
      </c>
      <c r="H10" t="s">
        <v>186</v>
      </c>
      <c r="I10">
        <v>5</v>
      </c>
      <c r="J10">
        <v>19</v>
      </c>
      <c r="K10">
        <v>0</v>
      </c>
      <c r="L10">
        <v>6</v>
      </c>
      <c r="M10">
        <v>27</v>
      </c>
      <c r="N10" s="1">
        <v>0.587</v>
      </c>
      <c r="O10" s="1">
        <v>0.081</v>
      </c>
      <c r="P10">
        <v>9553</v>
      </c>
      <c r="Q10">
        <v>34</v>
      </c>
      <c r="R10">
        <v>5</v>
      </c>
      <c r="S10">
        <v>303</v>
      </c>
      <c r="T10">
        <v>538</v>
      </c>
      <c r="U10">
        <v>3</v>
      </c>
      <c r="V10">
        <v>8371</v>
      </c>
      <c r="W10">
        <v>0</v>
      </c>
      <c r="X10">
        <v>11082</v>
      </c>
      <c r="Y10">
        <v>388</v>
      </c>
      <c r="Z10">
        <v>28584</v>
      </c>
      <c r="AA10" s="1">
        <v>0.402</v>
      </c>
      <c r="AB10">
        <v>574</v>
      </c>
      <c r="AC10" s="3">
        <v>0.15</v>
      </c>
      <c r="AD10">
        <v>4</v>
      </c>
      <c r="AE10">
        <v>1869</v>
      </c>
      <c r="AF10">
        <v>6</v>
      </c>
      <c r="AG10">
        <v>1010</v>
      </c>
      <c r="AH10">
        <v>1</v>
      </c>
      <c r="AI10">
        <v>5</v>
      </c>
    </row>
    <row r="11" spans="1:35">
      <c r="A11">
        <v>260515</v>
      </c>
      <c r="B11">
        <v>2</v>
      </c>
      <c r="C11" t="s">
        <v>76</v>
      </c>
      <c r="D11" t="s">
        <v>77</v>
      </c>
      <c r="E11">
        <v>46</v>
      </c>
      <c r="F11" t="s">
        <v>43</v>
      </c>
      <c r="G11">
        <f>VLOOKUP(F11,选手工资!$A:$T,10,FALSE)</f>
        <v>1</v>
      </c>
      <c r="H11" t="s">
        <v>141</v>
      </c>
      <c r="I11">
        <v>4</v>
      </c>
      <c r="J11">
        <v>19</v>
      </c>
      <c r="K11">
        <v>4</v>
      </c>
      <c r="L11">
        <v>5</v>
      </c>
      <c r="M11">
        <v>18</v>
      </c>
      <c r="N11" s="1">
        <v>0.478</v>
      </c>
      <c r="O11" s="1">
        <v>0.075</v>
      </c>
      <c r="P11">
        <v>11164</v>
      </c>
      <c r="Q11">
        <v>80</v>
      </c>
      <c r="R11">
        <v>0</v>
      </c>
      <c r="S11">
        <v>331</v>
      </c>
      <c r="T11">
        <v>540</v>
      </c>
      <c r="U11">
        <v>2</v>
      </c>
      <c r="V11">
        <v>2943</v>
      </c>
      <c r="W11">
        <v>1</v>
      </c>
      <c r="X11">
        <v>10288</v>
      </c>
      <c r="Y11">
        <v>494</v>
      </c>
      <c r="Z11">
        <v>24609</v>
      </c>
      <c r="AA11" s="1">
        <v>0.399</v>
      </c>
      <c r="AB11">
        <v>312</v>
      </c>
      <c r="AC11" s="3">
        <v>0.0958333333333333</v>
      </c>
      <c r="AD11">
        <v>8</v>
      </c>
      <c r="AE11">
        <v>2244</v>
      </c>
      <c r="AF11">
        <v>5</v>
      </c>
      <c r="AG11">
        <v>550</v>
      </c>
      <c r="AH11">
        <v>1</v>
      </c>
      <c r="AI11">
        <v>5</v>
      </c>
    </row>
    <row r="14" spans="1:35">
      <c r="A14" t="s">
        <v>90</v>
      </c>
      <c r="B14" s="4">
        <v>8811844508</v>
      </c>
      <c r="C14" s="4"/>
    </row>
    <row r="15" spans="1:35">
      <c r="A15" t="s">
        <v>91</v>
      </c>
      <c r="B15" s="7" t="s">
        <v>214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selection activeCell="A14" sqref="A14:C15"/>
    </sheetView>
  </sheetViews>
  <sheetFormatPr defaultColWidth="9.25" defaultRowHeight="16.8"/>
  <cols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260515</v>
      </c>
      <c r="B2">
        <v>3</v>
      </c>
      <c r="C2" t="s">
        <v>83</v>
      </c>
      <c r="D2" t="s">
        <v>84</v>
      </c>
      <c r="E2">
        <v>31</v>
      </c>
      <c r="F2" t="s">
        <v>20</v>
      </c>
      <c r="G2">
        <f>VLOOKUP(F2,选手工资!$A:$T,10,FALSE)</f>
        <v>6.5</v>
      </c>
      <c r="H2" t="s">
        <v>81</v>
      </c>
      <c r="I2">
        <v>1</v>
      </c>
      <c r="J2">
        <v>23</v>
      </c>
      <c r="K2">
        <v>6</v>
      </c>
      <c r="L2">
        <v>7</v>
      </c>
      <c r="M2">
        <v>5</v>
      </c>
      <c r="N2" s="1">
        <v>0.355</v>
      </c>
      <c r="O2" s="1">
        <v>0.158</v>
      </c>
      <c r="P2">
        <v>17501</v>
      </c>
      <c r="Q2">
        <v>372</v>
      </c>
      <c r="R2">
        <v>8</v>
      </c>
      <c r="S2">
        <v>575</v>
      </c>
      <c r="T2">
        <v>798</v>
      </c>
      <c r="U2">
        <v>2</v>
      </c>
      <c r="V2">
        <v>0</v>
      </c>
      <c r="W2">
        <v>0</v>
      </c>
      <c r="X2">
        <v>16438</v>
      </c>
      <c r="Y2">
        <v>3308</v>
      </c>
      <c r="Z2">
        <v>36234</v>
      </c>
      <c r="AA2" s="1">
        <v>0.38</v>
      </c>
      <c r="AB2">
        <v>2200</v>
      </c>
      <c r="AC2" s="3">
        <v>0.220138888888889</v>
      </c>
      <c r="AD2">
        <v>6</v>
      </c>
      <c r="AE2">
        <v>4560</v>
      </c>
      <c r="AF2">
        <v>8</v>
      </c>
      <c r="AG2">
        <v>0</v>
      </c>
      <c r="AH2">
        <v>1</v>
      </c>
      <c r="AI2">
        <v>1</v>
      </c>
    </row>
    <row r="3" spans="1:35">
      <c r="A3">
        <v>260515</v>
      </c>
      <c r="B3">
        <v>3</v>
      </c>
      <c r="C3" t="s">
        <v>83</v>
      </c>
      <c r="D3" t="s">
        <v>84</v>
      </c>
      <c r="E3">
        <v>31</v>
      </c>
      <c r="F3" t="s">
        <v>30</v>
      </c>
      <c r="G3">
        <f>VLOOKUP(F3,选手工资!$A:$T,10,FALSE)</f>
        <v>5</v>
      </c>
      <c r="H3" t="s">
        <v>215</v>
      </c>
      <c r="I3">
        <v>2</v>
      </c>
      <c r="J3">
        <v>18</v>
      </c>
      <c r="K3">
        <v>2</v>
      </c>
      <c r="L3">
        <v>9</v>
      </c>
      <c r="M3">
        <v>2</v>
      </c>
      <c r="N3" s="1">
        <v>0.129</v>
      </c>
      <c r="O3" s="1">
        <v>0.141</v>
      </c>
      <c r="P3">
        <v>13042</v>
      </c>
      <c r="Q3">
        <v>247</v>
      </c>
      <c r="R3">
        <v>17</v>
      </c>
      <c r="S3">
        <v>421</v>
      </c>
      <c r="T3">
        <v>513</v>
      </c>
      <c r="U3">
        <v>4</v>
      </c>
      <c r="V3">
        <v>0</v>
      </c>
      <c r="W3">
        <v>0</v>
      </c>
      <c r="X3">
        <v>14702</v>
      </c>
      <c r="Y3">
        <v>2950</v>
      </c>
      <c r="Z3">
        <v>68156</v>
      </c>
      <c r="AA3" s="1">
        <v>0.475</v>
      </c>
      <c r="AB3">
        <v>1883</v>
      </c>
      <c r="AC3" s="3">
        <v>0.288888888888889</v>
      </c>
      <c r="AD3">
        <v>9</v>
      </c>
      <c r="AE3">
        <v>3501</v>
      </c>
      <c r="AF3">
        <v>8</v>
      </c>
      <c r="AG3">
        <v>50</v>
      </c>
      <c r="AH3">
        <v>1</v>
      </c>
      <c r="AI3">
        <v>0</v>
      </c>
    </row>
    <row r="4" spans="1:35">
      <c r="A4">
        <v>260515</v>
      </c>
      <c r="B4">
        <v>3</v>
      </c>
      <c r="C4" t="s">
        <v>83</v>
      </c>
      <c r="D4" t="s">
        <v>84</v>
      </c>
      <c r="E4">
        <v>31</v>
      </c>
      <c r="F4" t="s">
        <v>28</v>
      </c>
      <c r="G4">
        <f>VLOOKUP(F4,选手工资!$A:$T,10,FALSE)</f>
        <v>5</v>
      </c>
      <c r="H4" t="s">
        <v>150</v>
      </c>
      <c r="I4">
        <v>3</v>
      </c>
      <c r="J4">
        <v>17</v>
      </c>
      <c r="K4">
        <v>10</v>
      </c>
      <c r="L4">
        <v>11</v>
      </c>
      <c r="M4">
        <v>7</v>
      </c>
      <c r="N4" s="1">
        <v>0.548</v>
      </c>
      <c r="O4" s="1">
        <v>0.203</v>
      </c>
      <c r="P4">
        <v>10965</v>
      </c>
      <c r="Q4">
        <v>146</v>
      </c>
      <c r="R4">
        <v>24</v>
      </c>
      <c r="S4">
        <v>386</v>
      </c>
      <c r="T4">
        <v>437</v>
      </c>
      <c r="U4">
        <v>2</v>
      </c>
      <c r="V4">
        <v>0</v>
      </c>
      <c r="W4">
        <v>0</v>
      </c>
      <c r="X4">
        <v>21134</v>
      </c>
      <c r="Y4">
        <v>173</v>
      </c>
      <c r="Z4">
        <v>49254</v>
      </c>
      <c r="AA4" s="1">
        <v>0.473</v>
      </c>
      <c r="AB4">
        <v>2298</v>
      </c>
      <c r="AC4" s="3">
        <v>0.305555555555556</v>
      </c>
      <c r="AD4">
        <v>5</v>
      </c>
      <c r="AE4">
        <v>4161</v>
      </c>
      <c r="AF4">
        <v>6</v>
      </c>
      <c r="AG4">
        <v>0</v>
      </c>
      <c r="AH4">
        <v>0</v>
      </c>
      <c r="AI4">
        <v>0</v>
      </c>
    </row>
    <row r="5" spans="1:35">
      <c r="A5">
        <v>260515</v>
      </c>
      <c r="B5">
        <v>3</v>
      </c>
      <c r="C5" t="s">
        <v>83</v>
      </c>
      <c r="D5" t="s">
        <v>84</v>
      </c>
      <c r="E5">
        <v>31</v>
      </c>
      <c r="F5" t="s">
        <v>27</v>
      </c>
      <c r="G5">
        <f>VLOOKUP(F5,选手工资!$A:$T,10,FALSE)</f>
        <v>5.5</v>
      </c>
      <c r="H5" t="s">
        <v>88</v>
      </c>
      <c r="I5">
        <v>5</v>
      </c>
      <c r="J5">
        <v>16</v>
      </c>
      <c r="K5">
        <v>6</v>
      </c>
      <c r="L5">
        <v>8</v>
      </c>
      <c r="M5">
        <v>9</v>
      </c>
      <c r="N5" s="1">
        <v>0.484</v>
      </c>
      <c r="O5" s="1">
        <v>0.205</v>
      </c>
      <c r="P5">
        <v>11625</v>
      </c>
      <c r="Q5">
        <v>102</v>
      </c>
      <c r="R5">
        <v>4</v>
      </c>
      <c r="S5">
        <v>362</v>
      </c>
      <c r="T5">
        <v>411</v>
      </c>
      <c r="U5">
        <v>4</v>
      </c>
      <c r="V5">
        <v>1125</v>
      </c>
      <c r="W5">
        <v>0</v>
      </c>
      <c r="X5">
        <v>21294</v>
      </c>
      <c r="Y5">
        <v>125</v>
      </c>
      <c r="Z5">
        <v>29578</v>
      </c>
      <c r="AA5" s="1">
        <v>0.328</v>
      </c>
      <c r="AB5">
        <v>1099</v>
      </c>
      <c r="AC5" s="3">
        <v>0.240277777777778</v>
      </c>
      <c r="AD5">
        <v>1</v>
      </c>
      <c r="AE5">
        <v>2655</v>
      </c>
      <c r="AF5">
        <v>6</v>
      </c>
      <c r="AG5">
        <v>750</v>
      </c>
      <c r="AH5">
        <v>2</v>
      </c>
      <c r="AI5">
        <v>8</v>
      </c>
    </row>
    <row r="6" spans="1:35">
      <c r="A6">
        <v>260515</v>
      </c>
      <c r="B6">
        <v>3</v>
      </c>
      <c r="C6" t="s">
        <v>83</v>
      </c>
      <c r="D6" t="s">
        <v>84</v>
      </c>
      <c r="E6">
        <v>31</v>
      </c>
      <c r="F6" t="s">
        <v>32</v>
      </c>
      <c r="G6">
        <f>VLOOKUP(F6,选手工资!$A:$T,10,FALSE)</f>
        <v>4</v>
      </c>
      <c r="H6" t="s">
        <v>133</v>
      </c>
      <c r="I6">
        <v>4</v>
      </c>
      <c r="J6">
        <v>16</v>
      </c>
      <c r="K6">
        <v>6</v>
      </c>
      <c r="L6">
        <v>15</v>
      </c>
      <c r="M6">
        <v>12</v>
      </c>
      <c r="N6" s="1">
        <v>0.581</v>
      </c>
      <c r="O6" s="1">
        <v>0.292</v>
      </c>
      <c r="P6">
        <v>10178</v>
      </c>
      <c r="Q6">
        <v>40</v>
      </c>
      <c r="R6">
        <v>3</v>
      </c>
      <c r="S6">
        <v>311</v>
      </c>
      <c r="T6">
        <v>403</v>
      </c>
      <c r="U6">
        <v>0</v>
      </c>
      <c r="V6">
        <v>0</v>
      </c>
      <c r="W6">
        <v>0</v>
      </c>
      <c r="X6">
        <v>30391</v>
      </c>
      <c r="Y6">
        <v>169</v>
      </c>
      <c r="Z6">
        <v>30611</v>
      </c>
      <c r="AA6" s="1">
        <v>0.375</v>
      </c>
      <c r="AB6">
        <v>1280</v>
      </c>
      <c r="AC6" s="3">
        <v>0.377777777777778</v>
      </c>
      <c r="AD6">
        <v>2</v>
      </c>
      <c r="AE6">
        <v>2655</v>
      </c>
      <c r="AF6">
        <v>6</v>
      </c>
      <c r="AG6">
        <v>300</v>
      </c>
      <c r="AH6">
        <v>0</v>
      </c>
      <c r="AI6">
        <v>1</v>
      </c>
    </row>
    <row r="7" spans="1:35">
      <c r="A7">
        <v>260515</v>
      </c>
      <c r="B7">
        <v>3</v>
      </c>
      <c r="C7" t="s">
        <v>76</v>
      </c>
      <c r="D7" t="s">
        <v>77</v>
      </c>
      <c r="E7">
        <v>50</v>
      </c>
      <c r="F7" t="s">
        <v>13</v>
      </c>
      <c r="G7">
        <f>VLOOKUP(F7,选手工资!$A:$T,10,FALSE)</f>
        <v>10.5</v>
      </c>
      <c r="H7" t="s">
        <v>95</v>
      </c>
      <c r="I7">
        <v>2</v>
      </c>
      <c r="J7">
        <v>26</v>
      </c>
      <c r="K7">
        <v>16</v>
      </c>
      <c r="L7">
        <v>3</v>
      </c>
      <c r="M7">
        <v>28</v>
      </c>
      <c r="N7" s="1">
        <v>0.88</v>
      </c>
      <c r="O7" s="1">
        <v>0.37</v>
      </c>
      <c r="P7">
        <v>27252</v>
      </c>
      <c r="Q7">
        <v>268</v>
      </c>
      <c r="R7">
        <v>12</v>
      </c>
      <c r="S7">
        <v>760</v>
      </c>
      <c r="T7">
        <v>1173</v>
      </c>
      <c r="U7">
        <v>3</v>
      </c>
      <c r="V7">
        <v>106</v>
      </c>
      <c r="W7">
        <v>0</v>
      </c>
      <c r="X7">
        <v>45603</v>
      </c>
      <c r="Y7">
        <v>10094</v>
      </c>
      <c r="Z7">
        <v>28125</v>
      </c>
      <c r="AA7" s="1">
        <v>0.416</v>
      </c>
      <c r="AB7">
        <v>427</v>
      </c>
      <c r="AC7" s="3">
        <v>0.0756944444444444</v>
      </c>
      <c r="AD7">
        <v>7</v>
      </c>
      <c r="AE7">
        <v>3485</v>
      </c>
      <c r="AF7">
        <v>7</v>
      </c>
      <c r="AG7">
        <v>180</v>
      </c>
      <c r="AH7">
        <v>1</v>
      </c>
      <c r="AI7">
        <v>3</v>
      </c>
    </row>
    <row r="8" spans="1:35">
      <c r="A8">
        <v>260515</v>
      </c>
      <c r="B8">
        <v>3</v>
      </c>
      <c r="C8" t="s">
        <v>76</v>
      </c>
      <c r="D8" t="s">
        <v>77</v>
      </c>
      <c r="E8">
        <v>50</v>
      </c>
      <c r="F8" t="s">
        <v>19</v>
      </c>
      <c r="G8">
        <f>VLOOKUP(F8,选手工资!$A:$T,10,FALSE)</f>
        <v>6.5</v>
      </c>
      <c r="H8" t="s">
        <v>163</v>
      </c>
      <c r="I8">
        <v>3</v>
      </c>
      <c r="J8">
        <v>22</v>
      </c>
      <c r="K8">
        <v>7</v>
      </c>
      <c r="L8">
        <v>4</v>
      </c>
      <c r="M8">
        <v>30</v>
      </c>
      <c r="N8" s="1">
        <v>0.74</v>
      </c>
      <c r="O8" s="1">
        <v>0.221</v>
      </c>
      <c r="P8">
        <v>20418</v>
      </c>
      <c r="Q8">
        <v>211</v>
      </c>
      <c r="R8">
        <v>3</v>
      </c>
      <c r="S8">
        <v>585</v>
      </c>
      <c r="T8">
        <v>771</v>
      </c>
      <c r="U8">
        <v>1</v>
      </c>
      <c r="V8">
        <v>0</v>
      </c>
      <c r="W8">
        <v>0</v>
      </c>
      <c r="X8">
        <v>27205</v>
      </c>
      <c r="Y8">
        <v>4690</v>
      </c>
      <c r="Z8">
        <v>66294</v>
      </c>
      <c r="AA8" s="1">
        <v>0.51</v>
      </c>
      <c r="AB8">
        <v>302</v>
      </c>
      <c r="AC8" s="3">
        <v>0.0694444444444444</v>
      </c>
      <c r="AD8">
        <v>10</v>
      </c>
      <c r="AE8">
        <v>3508</v>
      </c>
      <c r="AF8">
        <v>6</v>
      </c>
      <c r="AG8">
        <v>80</v>
      </c>
      <c r="AH8">
        <v>2</v>
      </c>
      <c r="AI8">
        <v>0</v>
      </c>
    </row>
    <row r="9" spans="1:35">
      <c r="A9">
        <v>260515</v>
      </c>
      <c r="B9">
        <v>3</v>
      </c>
      <c r="C9" t="s">
        <v>76</v>
      </c>
      <c r="D9" t="s">
        <v>77</v>
      </c>
      <c r="E9">
        <v>50</v>
      </c>
      <c r="F9" t="s">
        <v>25</v>
      </c>
      <c r="G9">
        <f>VLOOKUP(F9,选手工资!$A:$T,10,FALSE)</f>
        <v>5.5</v>
      </c>
      <c r="H9" t="s">
        <v>110</v>
      </c>
      <c r="I9">
        <v>1</v>
      </c>
      <c r="J9">
        <v>25</v>
      </c>
      <c r="K9">
        <v>18</v>
      </c>
      <c r="L9">
        <v>5</v>
      </c>
      <c r="M9">
        <v>17</v>
      </c>
      <c r="N9" s="1">
        <v>0.7</v>
      </c>
      <c r="O9" s="1">
        <v>0.283</v>
      </c>
      <c r="P9">
        <v>26641</v>
      </c>
      <c r="Q9">
        <v>297</v>
      </c>
      <c r="R9">
        <v>4</v>
      </c>
      <c r="S9">
        <v>740</v>
      </c>
      <c r="T9">
        <v>1020</v>
      </c>
      <c r="U9">
        <v>2</v>
      </c>
      <c r="V9">
        <v>0</v>
      </c>
      <c r="W9">
        <v>0</v>
      </c>
      <c r="X9">
        <v>34927</v>
      </c>
      <c r="Y9">
        <v>15591</v>
      </c>
      <c r="Z9">
        <v>36056</v>
      </c>
      <c r="AA9" s="1">
        <v>0.394</v>
      </c>
      <c r="AB9">
        <v>317</v>
      </c>
      <c r="AC9" s="3">
        <v>0.0868055555555556</v>
      </c>
      <c r="AD9">
        <v>8</v>
      </c>
      <c r="AE9">
        <v>3189</v>
      </c>
      <c r="AF9">
        <v>5</v>
      </c>
      <c r="AG9">
        <v>130</v>
      </c>
      <c r="AH9">
        <v>1</v>
      </c>
      <c r="AI9">
        <v>3</v>
      </c>
    </row>
    <row r="10" spans="1:35">
      <c r="A10">
        <v>260515</v>
      </c>
      <c r="B10">
        <v>3</v>
      </c>
      <c r="C10" t="s">
        <v>76</v>
      </c>
      <c r="D10" t="s">
        <v>77</v>
      </c>
      <c r="E10">
        <v>50</v>
      </c>
      <c r="F10" t="s">
        <v>38</v>
      </c>
      <c r="G10">
        <f>VLOOKUP(F10,选手工资!$A:$T,10,FALSE)</f>
        <v>2.5</v>
      </c>
      <c r="H10" t="s">
        <v>98</v>
      </c>
      <c r="I10">
        <v>4</v>
      </c>
      <c r="J10">
        <v>18</v>
      </c>
      <c r="K10">
        <v>5</v>
      </c>
      <c r="L10">
        <v>10</v>
      </c>
      <c r="M10">
        <v>21</v>
      </c>
      <c r="N10" s="1">
        <v>0.52</v>
      </c>
      <c r="O10" s="1">
        <v>0.088</v>
      </c>
      <c r="P10">
        <v>11110</v>
      </c>
      <c r="Q10">
        <v>26</v>
      </c>
      <c r="R10">
        <v>2</v>
      </c>
      <c r="S10">
        <v>383</v>
      </c>
      <c r="T10">
        <v>509</v>
      </c>
      <c r="U10">
        <v>1</v>
      </c>
      <c r="V10">
        <v>0</v>
      </c>
      <c r="W10">
        <v>1</v>
      </c>
      <c r="X10">
        <v>10818</v>
      </c>
      <c r="Y10">
        <v>14</v>
      </c>
      <c r="Z10">
        <v>21349</v>
      </c>
      <c r="AA10" s="1">
        <v>0.32</v>
      </c>
      <c r="AB10">
        <v>946</v>
      </c>
      <c r="AC10" s="3">
        <v>0.205555555555556</v>
      </c>
      <c r="AD10">
        <v>4</v>
      </c>
      <c r="AE10">
        <v>1714</v>
      </c>
      <c r="AF10">
        <v>6</v>
      </c>
      <c r="AG10">
        <v>1240</v>
      </c>
      <c r="AH10">
        <v>1</v>
      </c>
      <c r="AI10">
        <v>6</v>
      </c>
    </row>
    <row r="11" spans="1:35">
      <c r="A11">
        <v>260515</v>
      </c>
      <c r="B11">
        <v>3</v>
      </c>
      <c r="C11" t="s">
        <v>76</v>
      </c>
      <c r="D11" t="s">
        <v>77</v>
      </c>
      <c r="E11">
        <v>50</v>
      </c>
      <c r="F11" t="s">
        <v>40</v>
      </c>
      <c r="G11">
        <f>VLOOKUP(F11,选手工资!$A:$T,10,FALSE)</f>
        <v>2</v>
      </c>
      <c r="H11" t="s">
        <v>87</v>
      </c>
      <c r="I11">
        <v>5</v>
      </c>
      <c r="J11">
        <v>19</v>
      </c>
      <c r="K11">
        <v>3</v>
      </c>
      <c r="L11">
        <v>9</v>
      </c>
      <c r="M11">
        <v>21</v>
      </c>
      <c r="N11" s="1">
        <v>0.48</v>
      </c>
      <c r="O11" s="1">
        <v>0.038</v>
      </c>
      <c r="P11">
        <v>11528</v>
      </c>
      <c r="Q11">
        <v>19</v>
      </c>
      <c r="R11">
        <v>1</v>
      </c>
      <c r="S11">
        <v>336</v>
      </c>
      <c r="T11">
        <v>533</v>
      </c>
      <c r="U11">
        <v>1</v>
      </c>
      <c r="V11">
        <v>11111</v>
      </c>
      <c r="W11">
        <v>0</v>
      </c>
      <c r="X11">
        <v>4667</v>
      </c>
      <c r="Y11">
        <v>424</v>
      </c>
      <c r="Z11">
        <v>28526</v>
      </c>
      <c r="AA11" s="1">
        <v>0.343</v>
      </c>
      <c r="AB11">
        <v>617</v>
      </c>
      <c r="AC11" s="3">
        <v>0.177083333333333</v>
      </c>
      <c r="AD11">
        <v>3</v>
      </c>
      <c r="AE11">
        <v>1562</v>
      </c>
      <c r="AF11">
        <v>4</v>
      </c>
      <c r="AG11">
        <v>400</v>
      </c>
      <c r="AH11">
        <v>0</v>
      </c>
      <c r="AI11">
        <v>4</v>
      </c>
    </row>
    <row r="14" spans="1:35">
      <c r="A14" t="s">
        <v>90</v>
      </c>
      <c r="B14" s="4">
        <v>8811921772</v>
      </c>
      <c r="C14" s="4"/>
    </row>
    <row r="15" spans="1:35">
      <c r="A15" t="s">
        <v>91</v>
      </c>
      <c r="B15" s="7" t="s">
        <v>216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selection activeCell="A14" sqref="A14:C15"/>
    </sheetView>
  </sheetViews>
  <sheetFormatPr defaultColWidth="9.25" defaultRowHeight="16.8"/>
  <cols>
    <col min="6" max="6" width="2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260515</v>
      </c>
      <c r="B2">
        <v>4</v>
      </c>
      <c r="C2" t="s">
        <v>83</v>
      </c>
      <c r="D2" t="s">
        <v>77</v>
      </c>
      <c r="E2">
        <v>36</v>
      </c>
      <c r="F2" t="s">
        <v>14</v>
      </c>
      <c r="G2">
        <f>VLOOKUP(F2,选手工资!$A:$T,10,FALSE)</f>
        <v>9.5</v>
      </c>
      <c r="H2" t="s">
        <v>143</v>
      </c>
      <c r="I2">
        <v>3</v>
      </c>
      <c r="J2">
        <v>23</v>
      </c>
      <c r="K2">
        <v>8</v>
      </c>
      <c r="L2">
        <v>3</v>
      </c>
      <c r="M2">
        <v>15</v>
      </c>
      <c r="N2" s="1">
        <v>0.639</v>
      </c>
      <c r="O2" s="1">
        <v>0.26</v>
      </c>
      <c r="P2">
        <v>20869</v>
      </c>
      <c r="Q2">
        <v>287</v>
      </c>
      <c r="R2">
        <v>11</v>
      </c>
      <c r="S2">
        <v>604</v>
      </c>
      <c r="T2">
        <v>827</v>
      </c>
      <c r="U2">
        <v>0</v>
      </c>
      <c r="V2">
        <v>0</v>
      </c>
      <c r="W2">
        <v>0</v>
      </c>
      <c r="X2">
        <v>24034</v>
      </c>
      <c r="Y2">
        <v>2719</v>
      </c>
      <c r="Z2">
        <v>35134</v>
      </c>
      <c r="AA2" s="1">
        <v>0.598</v>
      </c>
      <c r="AB2">
        <v>466</v>
      </c>
      <c r="AC2" s="3">
        <v>0.0868055555555556</v>
      </c>
      <c r="AD2">
        <v>5</v>
      </c>
      <c r="AE2">
        <v>4227</v>
      </c>
      <c r="AF2">
        <v>8</v>
      </c>
      <c r="AG2">
        <v>0</v>
      </c>
      <c r="AH2">
        <v>2</v>
      </c>
      <c r="AI2">
        <v>1</v>
      </c>
    </row>
    <row r="3" spans="1:35">
      <c r="A3">
        <v>260515</v>
      </c>
      <c r="B3">
        <v>4</v>
      </c>
      <c r="C3" t="s">
        <v>83</v>
      </c>
      <c r="D3" t="s">
        <v>77</v>
      </c>
      <c r="E3">
        <v>36</v>
      </c>
      <c r="F3" t="s">
        <v>19</v>
      </c>
      <c r="G3">
        <f>VLOOKUP(F3,选手工资!$A:$T,10,FALSE)</f>
        <v>6.5</v>
      </c>
      <c r="H3" t="s">
        <v>149</v>
      </c>
      <c r="I3">
        <v>2</v>
      </c>
      <c r="J3">
        <v>23</v>
      </c>
      <c r="K3">
        <v>11</v>
      </c>
      <c r="L3">
        <v>3</v>
      </c>
      <c r="M3">
        <v>14</v>
      </c>
      <c r="N3" s="1">
        <v>0.694</v>
      </c>
      <c r="O3" s="1">
        <v>0.279</v>
      </c>
      <c r="P3">
        <v>19150</v>
      </c>
      <c r="Q3">
        <v>199</v>
      </c>
      <c r="R3">
        <v>3</v>
      </c>
      <c r="S3">
        <v>555</v>
      </c>
      <c r="T3">
        <v>845</v>
      </c>
      <c r="U3">
        <v>8</v>
      </c>
      <c r="V3">
        <v>0</v>
      </c>
      <c r="W3">
        <v>1</v>
      </c>
      <c r="X3">
        <v>25786</v>
      </c>
      <c r="Y3">
        <v>1278</v>
      </c>
      <c r="Z3">
        <v>42047</v>
      </c>
      <c r="AA3" s="1">
        <v>0.448</v>
      </c>
      <c r="AB3">
        <v>340</v>
      </c>
      <c r="AC3" s="3">
        <v>0.0791666666666667</v>
      </c>
      <c r="AD3">
        <v>6</v>
      </c>
      <c r="AE3">
        <v>3513</v>
      </c>
      <c r="AF3">
        <v>8</v>
      </c>
      <c r="AG3">
        <v>100</v>
      </c>
      <c r="AH3">
        <v>0</v>
      </c>
      <c r="AI3">
        <v>1</v>
      </c>
    </row>
    <row r="4" spans="1:35">
      <c r="A4">
        <v>260515</v>
      </c>
      <c r="B4">
        <v>4</v>
      </c>
      <c r="C4" t="s">
        <v>83</v>
      </c>
      <c r="D4" t="s">
        <v>77</v>
      </c>
      <c r="E4">
        <v>36</v>
      </c>
      <c r="F4" t="s">
        <v>18</v>
      </c>
      <c r="G4">
        <f>VLOOKUP(F4,选手工资!$A:$T,10,FALSE)</f>
        <v>7</v>
      </c>
      <c r="H4" t="s">
        <v>139</v>
      </c>
      <c r="I4">
        <v>1</v>
      </c>
      <c r="J4">
        <v>24</v>
      </c>
      <c r="K4">
        <v>8</v>
      </c>
      <c r="L4">
        <v>4</v>
      </c>
      <c r="M4">
        <v>9</v>
      </c>
      <c r="N4" s="1">
        <v>0.472</v>
      </c>
      <c r="O4" s="1">
        <v>0.199</v>
      </c>
      <c r="P4">
        <v>25843</v>
      </c>
      <c r="Q4">
        <v>462</v>
      </c>
      <c r="R4">
        <v>9</v>
      </c>
      <c r="S4">
        <v>761</v>
      </c>
      <c r="T4">
        <v>921</v>
      </c>
      <c r="U4">
        <v>1</v>
      </c>
      <c r="V4">
        <v>0</v>
      </c>
      <c r="W4">
        <v>0</v>
      </c>
      <c r="X4">
        <v>18374</v>
      </c>
      <c r="Y4">
        <v>9857</v>
      </c>
      <c r="Z4">
        <v>18282</v>
      </c>
      <c r="AA4" s="1">
        <v>0.404</v>
      </c>
      <c r="AB4">
        <v>324</v>
      </c>
      <c r="AC4" s="3">
        <v>0.0666666666666667</v>
      </c>
      <c r="AD4">
        <v>9</v>
      </c>
      <c r="AE4">
        <v>3481</v>
      </c>
      <c r="AF4">
        <v>6</v>
      </c>
      <c r="AG4">
        <v>0</v>
      </c>
      <c r="AH4">
        <v>5</v>
      </c>
      <c r="AI4">
        <v>0</v>
      </c>
    </row>
    <row r="5" spans="1:35">
      <c r="A5">
        <v>260515</v>
      </c>
      <c r="B5">
        <v>4</v>
      </c>
      <c r="C5" t="s">
        <v>83</v>
      </c>
      <c r="D5" t="s">
        <v>77</v>
      </c>
      <c r="E5">
        <v>36</v>
      </c>
      <c r="F5" t="s">
        <v>28</v>
      </c>
      <c r="G5">
        <f>VLOOKUP(F5,选手工资!$A:$T,10,FALSE)</f>
        <v>5</v>
      </c>
      <c r="H5" t="s">
        <v>95</v>
      </c>
      <c r="I5">
        <v>4</v>
      </c>
      <c r="J5">
        <v>19</v>
      </c>
      <c r="K5">
        <v>6</v>
      </c>
      <c r="L5">
        <v>4</v>
      </c>
      <c r="M5">
        <v>20</v>
      </c>
      <c r="N5" s="1">
        <v>0.722</v>
      </c>
      <c r="O5" s="1">
        <v>0.154</v>
      </c>
      <c r="P5">
        <v>15427</v>
      </c>
      <c r="Q5">
        <v>93</v>
      </c>
      <c r="R5">
        <v>1</v>
      </c>
      <c r="S5">
        <v>416</v>
      </c>
      <c r="T5">
        <v>593</v>
      </c>
      <c r="U5">
        <v>1</v>
      </c>
      <c r="V5">
        <v>960</v>
      </c>
      <c r="W5">
        <v>0</v>
      </c>
      <c r="X5">
        <v>14287</v>
      </c>
      <c r="Y5">
        <v>523</v>
      </c>
      <c r="Z5">
        <v>13960</v>
      </c>
      <c r="AA5" s="1">
        <v>0.382</v>
      </c>
      <c r="AB5">
        <v>221</v>
      </c>
      <c r="AC5" s="3">
        <v>0.0722222222222222</v>
      </c>
      <c r="AD5">
        <v>1</v>
      </c>
      <c r="AE5">
        <v>2362</v>
      </c>
      <c r="AF5">
        <v>5</v>
      </c>
      <c r="AG5">
        <v>900</v>
      </c>
      <c r="AH5">
        <v>0</v>
      </c>
      <c r="AI5">
        <v>7</v>
      </c>
    </row>
    <row r="6" spans="1:35">
      <c r="A6">
        <v>260515</v>
      </c>
      <c r="B6">
        <v>4</v>
      </c>
      <c r="C6" t="s">
        <v>83</v>
      </c>
      <c r="D6" t="s">
        <v>77</v>
      </c>
      <c r="E6">
        <v>36</v>
      </c>
      <c r="F6" t="s">
        <v>40</v>
      </c>
      <c r="G6">
        <f>VLOOKUP(F6,选手工资!$A:$T,10,FALSE)</f>
        <v>2</v>
      </c>
      <c r="H6" t="s">
        <v>140</v>
      </c>
      <c r="I6">
        <v>5</v>
      </c>
      <c r="J6">
        <v>19</v>
      </c>
      <c r="K6">
        <v>3</v>
      </c>
      <c r="L6">
        <v>5</v>
      </c>
      <c r="M6">
        <v>11</v>
      </c>
      <c r="N6" s="1">
        <v>0.389</v>
      </c>
      <c r="O6" s="1">
        <v>0.108</v>
      </c>
      <c r="P6">
        <v>7217</v>
      </c>
      <c r="Q6">
        <v>52</v>
      </c>
      <c r="R6">
        <v>2</v>
      </c>
      <c r="S6">
        <v>323</v>
      </c>
      <c r="T6">
        <v>562</v>
      </c>
      <c r="U6">
        <v>1</v>
      </c>
      <c r="V6">
        <v>0</v>
      </c>
      <c r="W6">
        <v>0</v>
      </c>
      <c r="X6">
        <v>10000</v>
      </c>
      <c r="Y6">
        <v>403</v>
      </c>
      <c r="Z6">
        <v>15048</v>
      </c>
      <c r="AA6" s="1">
        <v>0.415</v>
      </c>
      <c r="AB6">
        <v>212</v>
      </c>
      <c r="AC6" s="3">
        <v>0.0854166666666667</v>
      </c>
      <c r="AD6">
        <v>2</v>
      </c>
      <c r="AE6">
        <v>1667</v>
      </c>
      <c r="AF6">
        <v>5</v>
      </c>
      <c r="AG6">
        <v>750</v>
      </c>
      <c r="AH6">
        <v>1</v>
      </c>
      <c r="AI6">
        <v>5</v>
      </c>
    </row>
    <row r="7" spans="1:35">
      <c r="A7">
        <v>260515</v>
      </c>
      <c r="B7">
        <v>4</v>
      </c>
      <c r="C7" t="s">
        <v>76</v>
      </c>
      <c r="D7" t="s">
        <v>84</v>
      </c>
      <c r="E7">
        <v>18</v>
      </c>
      <c r="F7" t="s">
        <v>32</v>
      </c>
      <c r="G7">
        <f>VLOOKUP(F7,选手工资!$A:$T,10,FALSE)</f>
        <v>4</v>
      </c>
      <c r="H7" t="s">
        <v>96</v>
      </c>
      <c r="I7">
        <v>2</v>
      </c>
      <c r="J7">
        <v>18</v>
      </c>
      <c r="K7">
        <v>6</v>
      </c>
      <c r="L7">
        <v>6</v>
      </c>
      <c r="M7">
        <v>4</v>
      </c>
      <c r="N7" s="1">
        <v>0.556</v>
      </c>
      <c r="O7" s="1">
        <v>0.27</v>
      </c>
      <c r="P7">
        <v>13758</v>
      </c>
      <c r="Q7">
        <v>200</v>
      </c>
      <c r="R7">
        <v>6</v>
      </c>
      <c r="S7">
        <v>426</v>
      </c>
      <c r="T7">
        <v>517</v>
      </c>
      <c r="U7">
        <v>0</v>
      </c>
      <c r="V7">
        <v>4348</v>
      </c>
      <c r="W7">
        <v>0</v>
      </c>
      <c r="X7">
        <v>17816</v>
      </c>
      <c r="Y7">
        <v>794</v>
      </c>
      <c r="Z7">
        <v>29967</v>
      </c>
      <c r="AA7" s="1">
        <v>0.234</v>
      </c>
      <c r="AB7">
        <v>1232</v>
      </c>
      <c r="AC7" s="3">
        <v>0.210416666666667</v>
      </c>
      <c r="AD7">
        <v>8</v>
      </c>
      <c r="AE7">
        <v>4636</v>
      </c>
      <c r="AF7">
        <v>8</v>
      </c>
      <c r="AG7">
        <v>100</v>
      </c>
      <c r="AH7">
        <v>1</v>
      </c>
      <c r="AI7">
        <v>2</v>
      </c>
    </row>
    <row r="8" spans="1:35">
      <c r="A8">
        <v>260515</v>
      </c>
      <c r="B8">
        <v>4</v>
      </c>
      <c r="C8" t="s">
        <v>76</v>
      </c>
      <c r="D8" t="s">
        <v>84</v>
      </c>
      <c r="E8">
        <v>18</v>
      </c>
      <c r="F8" t="s">
        <v>30</v>
      </c>
      <c r="G8">
        <f>VLOOKUP(F8,选手工资!$A:$T,10,FALSE)</f>
        <v>5</v>
      </c>
      <c r="H8" t="s">
        <v>210</v>
      </c>
      <c r="I8">
        <v>1</v>
      </c>
      <c r="J8">
        <v>22</v>
      </c>
      <c r="K8">
        <v>2</v>
      </c>
      <c r="L8">
        <v>6</v>
      </c>
      <c r="M8">
        <v>1</v>
      </c>
      <c r="N8" s="1">
        <v>0.167</v>
      </c>
      <c r="O8" s="1">
        <v>0.18</v>
      </c>
      <c r="P8">
        <v>20646</v>
      </c>
      <c r="Q8">
        <v>455</v>
      </c>
      <c r="R8">
        <v>12</v>
      </c>
      <c r="S8">
        <v>611</v>
      </c>
      <c r="T8">
        <v>791</v>
      </c>
      <c r="U8">
        <v>1</v>
      </c>
      <c r="V8">
        <v>0</v>
      </c>
      <c r="W8">
        <v>0</v>
      </c>
      <c r="X8">
        <v>11864</v>
      </c>
      <c r="Y8">
        <v>0</v>
      </c>
      <c r="Z8">
        <v>40216</v>
      </c>
      <c r="AA8" s="1">
        <v>0.502</v>
      </c>
      <c r="AB8">
        <v>1600</v>
      </c>
      <c r="AC8" s="3">
        <v>0.181944444444444</v>
      </c>
      <c r="AD8">
        <v>10</v>
      </c>
      <c r="AE8">
        <v>3725</v>
      </c>
      <c r="AF8">
        <v>7</v>
      </c>
      <c r="AG8">
        <v>0</v>
      </c>
      <c r="AH8">
        <v>2</v>
      </c>
      <c r="AI8">
        <v>0</v>
      </c>
    </row>
    <row r="9" spans="1:35">
      <c r="A9">
        <v>260515</v>
      </c>
      <c r="B9">
        <v>4</v>
      </c>
      <c r="C9" t="s">
        <v>76</v>
      </c>
      <c r="D9" t="s">
        <v>84</v>
      </c>
      <c r="E9">
        <v>18</v>
      </c>
      <c r="F9" t="s">
        <v>17</v>
      </c>
      <c r="G9">
        <f>VLOOKUP(F9,选手工资!$A:$T,10,FALSE)</f>
        <v>8</v>
      </c>
      <c r="H9" t="s">
        <v>80</v>
      </c>
      <c r="I9">
        <v>3</v>
      </c>
      <c r="J9">
        <v>18</v>
      </c>
      <c r="K9">
        <v>4</v>
      </c>
      <c r="L9">
        <v>6</v>
      </c>
      <c r="M9">
        <v>7</v>
      </c>
      <c r="N9" s="1">
        <v>0.611</v>
      </c>
      <c r="O9" s="1">
        <v>0.215</v>
      </c>
      <c r="P9">
        <v>16082</v>
      </c>
      <c r="Q9">
        <v>269</v>
      </c>
      <c r="R9">
        <v>21</v>
      </c>
      <c r="S9">
        <v>474</v>
      </c>
      <c r="T9">
        <v>530</v>
      </c>
      <c r="U9">
        <v>1</v>
      </c>
      <c r="V9">
        <v>2014</v>
      </c>
      <c r="W9">
        <v>1</v>
      </c>
      <c r="X9">
        <v>14201</v>
      </c>
      <c r="Y9">
        <v>560</v>
      </c>
      <c r="Z9">
        <v>39425</v>
      </c>
      <c r="AA9" s="1">
        <v>0.433</v>
      </c>
      <c r="AB9">
        <v>896</v>
      </c>
      <c r="AC9" s="3">
        <v>0.146527777777778</v>
      </c>
      <c r="AD9">
        <v>3</v>
      </c>
      <c r="AE9">
        <v>4511</v>
      </c>
      <c r="AF9">
        <v>6</v>
      </c>
      <c r="AG9">
        <v>0</v>
      </c>
      <c r="AH9">
        <v>0</v>
      </c>
      <c r="AI9">
        <v>1</v>
      </c>
    </row>
    <row r="10" spans="1:35">
      <c r="A10">
        <v>260515</v>
      </c>
      <c r="B10">
        <v>4</v>
      </c>
      <c r="C10" t="s">
        <v>76</v>
      </c>
      <c r="D10" t="s">
        <v>84</v>
      </c>
      <c r="E10">
        <v>18</v>
      </c>
      <c r="F10" t="s">
        <v>38</v>
      </c>
      <c r="G10">
        <f>VLOOKUP(F10,选手工资!$A:$T,10,FALSE)</f>
        <v>2.5</v>
      </c>
      <c r="H10" t="s">
        <v>79</v>
      </c>
      <c r="I10">
        <v>4</v>
      </c>
      <c r="J10">
        <v>16</v>
      </c>
      <c r="K10">
        <v>3</v>
      </c>
      <c r="L10">
        <v>6</v>
      </c>
      <c r="M10">
        <v>10</v>
      </c>
      <c r="N10" s="1">
        <v>0.722</v>
      </c>
      <c r="O10" s="1">
        <v>0.169</v>
      </c>
      <c r="P10">
        <v>9298</v>
      </c>
      <c r="Q10">
        <v>83</v>
      </c>
      <c r="R10">
        <v>2</v>
      </c>
      <c r="S10">
        <v>342</v>
      </c>
      <c r="T10">
        <v>414</v>
      </c>
      <c r="U10">
        <v>3</v>
      </c>
      <c r="V10">
        <v>0</v>
      </c>
      <c r="W10">
        <v>0</v>
      </c>
      <c r="X10">
        <v>11137</v>
      </c>
      <c r="Y10">
        <v>207</v>
      </c>
      <c r="Z10">
        <v>13154</v>
      </c>
      <c r="AA10" s="1">
        <v>0.221</v>
      </c>
      <c r="AB10">
        <v>983</v>
      </c>
      <c r="AC10" s="3">
        <v>0.136111111111111</v>
      </c>
      <c r="AD10">
        <v>4</v>
      </c>
      <c r="AE10">
        <v>2061</v>
      </c>
      <c r="AF10">
        <v>6</v>
      </c>
      <c r="AG10">
        <v>550</v>
      </c>
      <c r="AH10">
        <v>4</v>
      </c>
      <c r="AI10">
        <v>7</v>
      </c>
    </row>
    <row r="11" spans="1:35">
      <c r="A11">
        <v>260515</v>
      </c>
      <c r="B11">
        <v>4</v>
      </c>
      <c r="C11" t="s">
        <v>76</v>
      </c>
      <c r="D11" t="s">
        <v>84</v>
      </c>
      <c r="E11">
        <v>18</v>
      </c>
      <c r="F11" t="s">
        <v>13</v>
      </c>
      <c r="G11">
        <f>VLOOKUP(F11,选手工资!$A:$T,10,FALSE)</f>
        <v>10.5</v>
      </c>
      <c r="H11" t="s">
        <v>141</v>
      </c>
      <c r="I11">
        <v>5</v>
      </c>
      <c r="J11">
        <v>15</v>
      </c>
      <c r="K11">
        <v>2</v>
      </c>
      <c r="L11">
        <v>12</v>
      </c>
      <c r="M11">
        <v>6</v>
      </c>
      <c r="N11" s="1">
        <v>0.444</v>
      </c>
      <c r="O11" s="1">
        <v>0.166</v>
      </c>
      <c r="P11">
        <v>9234</v>
      </c>
      <c r="Q11">
        <v>79</v>
      </c>
      <c r="R11">
        <v>3</v>
      </c>
      <c r="S11">
        <v>297</v>
      </c>
      <c r="T11">
        <v>355</v>
      </c>
      <c r="U11">
        <v>4</v>
      </c>
      <c r="V11">
        <v>0</v>
      </c>
      <c r="W11">
        <v>0</v>
      </c>
      <c r="X11">
        <v>10990</v>
      </c>
      <c r="Y11">
        <v>14</v>
      </c>
      <c r="Z11">
        <v>24388</v>
      </c>
      <c r="AA11" s="1">
        <v>0.306</v>
      </c>
      <c r="AB11">
        <v>918</v>
      </c>
      <c r="AC11" s="3">
        <v>0.245138888888889</v>
      </c>
      <c r="AD11">
        <v>7</v>
      </c>
      <c r="AE11">
        <v>1631</v>
      </c>
      <c r="AF11">
        <v>5</v>
      </c>
      <c r="AG11">
        <v>1050</v>
      </c>
      <c r="AH11">
        <v>4</v>
      </c>
      <c r="AI11">
        <v>6</v>
      </c>
    </row>
    <row r="14" spans="1:35">
      <c r="A14" t="s">
        <v>90</v>
      </c>
      <c r="B14" s="4">
        <v>8811993838</v>
      </c>
      <c r="C14" s="4"/>
    </row>
    <row r="15" spans="1:35">
      <c r="A15" t="s">
        <v>91</v>
      </c>
      <c r="B15" s="7" t="s">
        <v>217</v>
      </c>
    </row>
  </sheetData>
  <sortState ref="A2:AI11">
    <sortCondition ref="C5"/>
  </sortState>
  <mergeCells count="1">
    <mergeCell ref="B14:C14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selection activeCell="A14" sqref="A14:C15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260515</v>
      </c>
      <c r="B2">
        <v>5</v>
      </c>
      <c r="C2" t="s">
        <v>83</v>
      </c>
      <c r="D2" t="s">
        <v>77</v>
      </c>
      <c r="E2">
        <v>45</v>
      </c>
      <c r="F2" t="s">
        <v>30</v>
      </c>
      <c r="G2">
        <f>VLOOKUP(F2,选手工资!$A:$T,10,FALSE)</f>
        <v>5</v>
      </c>
      <c r="H2" t="s">
        <v>103</v>
      </c>
      <c r="I2">
        <v>2</v>
      </c>
      <c r="J2">
        <v>22</v>
      </c>
      <c r="K2">
        <v>14</v>
      </c>
      <c r="L2">
        <v>5</v>
      </c>
      <c r="M2">
        <v>19</v>
      </c>
      <c r="N2" s="1">
        <v>0.733</v>
      </c>
      <c r="O2" s="1">
        <v>0.274</v>
      </c>
      <c r="P2">
        <v>29401</v>
      </c>
      <c r="Q2">
        <v>229</v>
      </c>
      <c r="R2">
        <v>7</v>
      </c>
      <c r="S2">
        <v>618</v>
      </c>
      <c r="T2">
        <v>818</v>
      </c>
      <c r="U2">
        <v>5</v>
      </c>
      <c r="V2">
        <v>106</v>
      </c>
      <c r="W2">
        <v>0</v>
      </c>
      <c r="X2">
        <v>34892</v>
      </c>
      <c r="Y2">
        <v>881</v>
      </c>
      <c r="Z2">
        <v>37431</v>
      </c>
      <c r="AA2" s="1">
        <v>0.541</v>
      </c>
      <c r="AB2">
        <v>921</v>
      </c>
      <c r="AC2" s="3">
        <v>0.14375</v>
      </c>
      <c r="AD2">
        <v>5</v>
      </c>
      <c r="AE2">
        <v>4022</v>
      </c>
      <c r="AF2">
        <v>8</v>
      </c>
      <c r="AG2">
        <v>290</v>
      </c>
      <c r="AH2">
        <v>1</v>
      </c>
      <c r="AI2">
        <v>0</v>
      </c>
    </row>
    <row r="3" spans="1:35">
      <c r="A3">
        <v>260515</v>
      </c>
      <c r="B3">
        <v>5</v>
      </c>
      <c r="C3" t="s">
        <v>83</v>
      </c>
      <c r="D3" t="s">
        <v>77</v>
      </c>
      <c r="E3">
        <v>45</v>
      </c>
      <c r="F3" t="s">
        <v>17</v>
      </c>
      <c r="G3">
        <f>VLOOKUP(F3,选手工资!$A:$T,10,FALSE)</f>
        <v>8</v>
      </c>
      <c r="H3" t="s">
        <v>218</v>
      </c>
      <c r="I3">
        <v>1</v>
      </c>
      <c r="J3">
        <v>26</v>
      </c>
      <c r="K3">
        <v>11</v>
      </c>
      <c r="L3">
        <v>0</v>
      </c>
      <c r="M3">
        <v>17</v>
      </c>
      <c r="N3" s="1">
        <v>0.622</v>
      </c>
      <c r="O3" s="1">
        <v>0.289</v>
      </c>
      <c r="P3">
        <v>30318</v>
      </c>
      <c r="Q3">
        <v>581</v>
      </c>
      <c r="R3">
        <v>15</v>
      </c>
      <c r="S3">
        <v>896</v>
      </c>
      <c r="T3">
        <v>1229</v>
      </c>
      <c r="U3">
        <v>4</v>
      </c>
      <c r="V3">
        <v>0</v>
      </c>
      <c r="W3">
        <v>0</v>
      </c>
      <c r="X3">
        <v>36746</v>
      </c>
      <c r="Y3">
        <v>9514</v>
      </c>
      <c r="Z3">
        <v>19754</v>
      </c>
      <c r="AA3" s="1">
        <v>0.943</v>
      </c>
      <c r="AB3">
        <v>0</v>
      </c>
      <c r="AC3" s="3">
        <v>0</v>
      </c>
      <c r="AD3">
        <v>6</v>
      </c>
      <c r="AE3">
        <v>4387</v>
      </c>
      <c r="AF3">
        <v>7</v>
      </c>
      <c r="AG3">
        <v>0</v>
      </c>
      <c r="AH3">
        <v>6</v>
      </c>
      <c r="AI3">
        <v>0</v>
      </c>
    </row>
    <row r="4" spans="1:35">
      <c r="A4">
        <v>260515</v>
      </c>
      <c r="B4">
        <v>5</v>
      </c>
      <c r="C4" t="s">
        <v>83</v>
      </c>
      <c r="D4" t="s">
        <v>77</v>
      </c>
      <c r="E4">
        <v>45</v>
      </c>
      <c r="F4" t="s">
        <v>18</v>
      </c>
      <c r="G4">
        <f>VLOOKUP(F4,选手工资!$A:$T,10,FALSE)</f>
        <v>7</v>
      </c>
      <c r="H4" t="s">
        <v>97</v>
      </c>
      <c r="I4">
        <v>3</v>
      </c>
      <c r="J4">
        <v>21</v>
      </c>
      <c r="K4">
        <v>6</v>
      </c>
      <c r="L4">
        <v>9</v>
      </c>
      <c r="M4">
        <v>13</v>
      </c>
      <c r="N4" s="1">
        <v>0.422</v>
      </c>
      <c r="O4" s="1">
        <v>0.135</v>
      </c>
      <c r="P4">
        <v>15160</v>
      </c>
      <c r="Q4">
        <v>202</v>
      </c>
      <c r="R4">
        <v>12</v>
      </c>
      <c r="S4">
        <v>492</v>
      </c>
      <c r="T4">
        <v>731</v>
      </c>
      <c r="U4">
        <v>0</v>
      </c>
      <c r="V4">
        <v>0</v>
      </c>
      <c r="W4">
        <v>0</v>
      </c>
      <c r="X4">
        <v>17189</v>
      </c>
      <c r="Y4">
        <v>30</v>
      </c>
      <c r="Z4">
        <v>57406</v>
      </c>
      <c r="AA4" s="1">
        <v>0.593</v>
      </c>
      <c r="AB4">
        <v>1638</v>
      </c>
      <c r="AC4" s="3">
        <v>0.242361111111111</v>
      </c>
      <c r="AD4">
        <v>9</v>
      </c>
      <c r="AE4">
        <v>4004</v>
      </c>
      <c r="AF4">
        <v>7</v>
      </c>
      <c r="AG4">
        <v>0</v>
      </c>
      <c r="AH4">
        <v>1</v>
      </c>
      <c r="AI4">
        <v>0</v>
      </c>
    </row>
    <row r="5" spans="1:35">
      <c r="A5">
        <v>260515</v>
      </c>
      <c r="B5">
        <v>5</v>
      </c>
      <c r="C5" t="s">
        <v>83</v>
      </c>
      <c r="D5" t="s">
        <v>77</v>
      </c>
      <c r="E5">
        <v>45</v>
      </c>
      <c r="F5" t="s">
        <v>19</v>
      </c>
      <c r="G5">
        <f>VLOOKUP(F5,选手工资!$A:$T,10,FALSE)</f>
        <v>6.5</v>
      </c>
      <c r="H5" t="s">
        <v>170</v>
      </c>
      <c r="I5">
        <v>4</v>
      </c>
      <c r="J5">
        <v>18</v>
      </c>
      <c r="K5">
        <v>4</v>
      </c>
      <c r="L5">
        <v>10</v>
      </c>
      <c r="M5">
        <v>31</v>
      </c>
      <c r="N5" s="1">
        <v>0.778</v>
      </c>
      <c r="O5" s="1">
        <v>0.162</v>
      </c>
      <c r="P5">
        <v>8011</v>
      </c>
      <c r="Q5">
        <v>31</v>
      </c>
      <c r="R5">
        <v>0</v>
      </c>
      <c r="S5">
        <v>322</v>
      </c>
      <c r="T5">
        <v>537</v>
      </c>
      <c r="U5">
        <v>4</v>
      </c>
      <c r="V5">
        <v>0</v>
      </c>
      <c r="W5">
        <v>1</v>
      </c>
      <c r="X5">
        <v>20636</v>
      </c>
      <c r="Y5">
        <v>0</v>
      </c>
      <c r="Z5">
        <v>29478</v>
      </c>
      <c r="AA5" s="1">
        <v>0.328</v>
      </c>
      <c r="AB5">
        <v>1128</v>
      </c>
      <c r="AC5" s="3">
        <v>0.202777777777778</v>
      </c>
      <c r="AD5">
        <v>1</v>
      </c>
      <c r="AE5">
        <v>2166</v>
      </c>
      <c r="AF5">
        <v>5</v>
      </c>
      <c r="AG5">
        <v>1000</v>
      </c>
      <c r="AH5">
        <v>0</v>
      </c>
      <c r="AI5">
        <v>7</v>
      </c>
    </row>
    <row r="6" spans="1:35">
      <c r="A6">
        <v>260515</v>
      </c>
      <c r="B6">
        <v>5</v>
      </c>
      <c r="C6" t="s">
        <v>83</v>
      </c>
      <c r="D6" t="s">
        <v>77</v>
      </c>
      <c r="E6">
        <v>45</v>
      </c>
      <c r="F6" t="s">
        <v>31</v>
      </c>
      <c r="G6">
        <f>VLOOKUP(F6,选手工资!$A:$T,10,FALSE)</f>
        <v>4.5</v>
      </c>
      <c r="H6" t="s">
        <v>180</v>
      </c>
      <c r="I6">
        <v>5</v>
      </c>
      <c r="J6">
        <v>18</v>
      </c>
      <c r="K6">
        <v>9</v>
      </c>
      <c r="L6">
        <v>9</v>
      </c>
      <c r="M6">
        <v>14</v>
      </c>
      <c r="N6" s="1">
        <v>0.511</v>
      </c>
      <c r="O6" s="1">
        <v>0.14</v>
      </c>
      <c r="P6">
        <v>11765</v>
      </c>
      <c r="Q6">
        <v>96</v>
      </c>
      <c r="R6">
        <v>1</v>
      </c>
      <c r="S6">
        <v>399</v>
      </c>
      <c r="T6">
        <v>562</v>
      </c>
      <c r="U6">
        <v>1</v>
      </c>
      <c r="V6">
        <v>0</v>
      </c>
      <c r="W6">
        <v>0</v>
      </c>
      <c r="X6">
        <v>17858</v>
      </c>
      <c r="Y6">
        <v>0</v>
      </c>
      <c r="Z6">
        <v>35303</v>
      </c>
      <c r="AA6" s="1">
        <v>0.428</v>
      </c>
      <c r="AB6">
        <v>961</v>
      </c>
      <c r="AC6" s="3">
        <v>0.205555555555556</v>
      </c>
      <c r="AD6">
        <v>2</v>
      </c>
      <c r="AE6">
        <v>2527</v>
      </c>
      <c r="AF6">
        <v>5</v>
      </c>
      <c r="AG6">
        <v>430</v>
      </c>
      <c r="AH6">
        <v>1</v>
      </c>
      <c r="AI6">
        <v>4</v>
      </c>
    </row>
    <row r="7" spans="1:35">
      <c r="A7">
        <v>260515</v>
      </c>
      <c r="B7">
        <v>5</v>
      </c>
      <c r="C7" t="s">
        <v>76</v>
      </c>
      <c r="D7" t="s">
        <v>84</v>
      </c>
      <c r="E7">
        <v>33</v>
      </c>
      <c r="F7" t="s">
        <v>13</v>
      </c>
      <c r="G7">
        <f>VLOOKUP(F7,选手工资!$A:$T,10,FALSE)</f>
        <v>10.5</v>
      </c>
      <c r="H7" t="s">
        <v>192</v>
      </c>
      <c r="I7">
        <v>2</v>
      </c>
      <c r="J7">
        <v>22</v>
      </c>
      <c r="K7">
        <v>14</v>
      </c>
      <c r="L7">
        <v>8</v>
      </c>
      <c r="M7">
        <v>12</v>
      </c>
      <c r="N7" s="1">
        <v>0.788</v>
      </c>
      <c r="O7" s="1">
        <v>0.378</v>
      </c>
      <c r="P7">
        <v>15784</v>
      </c>
      <c r="Q7">
        <v>242</v>
      </c>
      <c r="R7">
        <v>15</v>
      </c>
      <c r="S7">
        <v>569</v>
      </c>
      <c r="T7">
        <v>781</v>
      </c>
      <c r="U7">
        <v>2</v>
      </c>
      <c r="V7">
        <v>0</v>
      </c>
      <c r="W7">
        <v>0</v>
      </c>
      <c r="X7">
        <v>30893</v>
      </c>
      <c r="Y7">
        <v>0</v>
      </c>
      <c r="Z7">
        <v>51446</v>
      </c>
      <c r="AA7" s="1">
        <v>0.454</v>
      </c>
      <c r="AB7">
        <v>1479</v>
      </c>
      <c r="AC7" s="3">
        <v>0.242361111111111</v>
      </c>
      <c r="AD7">
        <v>3</v>
      </c>
      <c r="AE7">
        <v>4603</v>
      </c>
      <c r="AF7">
        <v>8</v>
      </c>
      <c r="AG7">
        <v>80</v>
      </c>
      <c r="AH7">
        <v>1</v>
      </c>
      <c r="AI7">
        <v>0</v>
      </c>
    </row>
    <row r="8" spans="1:35">
      <c r="A8">
        <v>260515</v>
      </c>
      <c r="B8">
        <v>5</v>
      </c>
      <c r="C8" t="s">
        <v>76</v>
      </c>
      <c r="D8" t="s">
        <v>84</v>
      </c>
      <c r="E8">
        <v>33</v>
      </c>
      <c r="F8" t="s">
        <v>32</v>
      </c>
      <c r="G8">
        <f>VLOOKUP(F8,选手工资!$A:$T,10,FALSE)</f>
        <v>4</v>
      </c>
      <c r="H8" t="s">
        <v>118</v>
      </c>
      <c r="I8">
        <v>1</v>
      </c>
      <c r="J8">
        <v>19</v>
      </c>
      <c r="K8">
        <v>2</v>
      </c>
      <c r="L8">
        <v>7</v>
      </c>
      <c r="M8">
        <v>12</v>
      </c>
      <c r="N8" s="1">
        <v>0.424</v>
      </c>
      <c r="O8" s="1">
        <v>0.074</v>
      </c>
      <c r="P8">
        <v>13562</v>
      </c>
      <c r="Q8">
        <v>222</v>
      </c>
      <c r="R8">
        <v>8</v>
      </c>
      <c r="S8">
        <v>426</v>
      </c>
      <c r="T8">
        <v>615</v>
      </c>
      <c r="U8">
        <v>2</v>
      </c>
      <c r="V8">
        <v>125</v>
      </c>
      <c r="W8">
        <v>0</v>
      </c>
      <c r="X8">
        <v>6066</v>
      </c>
      <c r="Y8">
        <v>758</v>
      </c>
      <c r="Z8">
        <v>32914</v>
      </c>
      <c r="AA8" s="1">
        <v>0.381</v>
      </c>
      <c r="AB8">
        <v>1049</v>
      </c>
      <c r="AC8" s="3">
        <v>0.218055555555556</v>
      </c>
      <c r="AD8">
        <v>7</v>
      </c>
      <c r="AE8">
        <v>3886</v>
      </c>
      <c r="AF8">
        <v>7</v>
      </c>
      <c r="AG8">
        <v>0</v>
      </c>
      <c r="AH8">
        <v>0</v>
      </c>
      <c r="AI8">
        <v>0</v>
      </c>
    </row>
    <row r="9" spans="1:35">
      <c r="A9">
        <v>260515</v>
      </c>
      <c r="B9">
        <v>5</v>
      </c>
      <c r="C9" t="s">
        <v>76</v>
      </c>
      <c r="D9" t="s">
        <v>84</v>
      </c>
      <c r="E9">
        <v>33</v>
      </c>
      <c r="F9" t="s">
        <v>14</v>
      </c>
      <c r="G9">
        <f>VLOOKUP(F9,选手工资!$A:$T,10,FALSE)</f>
        <v>9.5</v>
      </c>
      <c r="H9" t="s">
        <v>143</v>
      </c>
      <c r="I9">
        <v>3</v>
      </c>
      <c r="J9">
        <v>19</v>
      </c>
      <c r="K9">
        <v>6</v>
      </c>
      <c r="L9">
        <v>9</v>
      </c>
      <c r="M9">
        <v>19</v>
      </c>
      <c r="N9" s="1">
        <v>0.758</v>
      </c>
      <c r="O9" s="1">
        <v>0.305</v>
      </c>
      <c r="P9">
        <v>12658</v>
      </c>
      <c r="Q9">
        <v>159</v>
      </c>
      <c r="R9">
        <v>12</v>
      </c>
      <c r="S9">
        <v>475</v>
      </c>
      <c r="T9">
        <v>625</v>
      </c>
      <c r="U9">
        <v>0</v>
      </c>
      <c r="V9">
        <v>0</v>
      </c>
      <c r="W9">
        <v>0</v>
      </c>
      <c r="X9">
        <v>24930</v>
      </c>
      <c r="Y9">
        <v>660</v>
      </c>
      <c r="Z9">
        <v>75352</v>
      </c>
      <c r="AA9" s="1">
        <v>0.597</v>
      </c>
      <c r="AB9">
        <v>2120</v>
      </c>
      <c r="AC9" s="3">
        <v>0.217361111111111</v>
      </c>
      <c r="AD9">
        <v>10</v>
      </c>
      <c r="AE9">
        <v>3867</v>
      </c>
      <c r="AF9">
        <v>7</v>
      </c>
      <c r="AG9">
        <v>0</v>
      </c>
      <c r="AH9">
        <v>0</v>
      </c>
      <c r="AI9">
        <v>0</v>
      </c>
    </row>
    <row r="10" spans="1:35">
      <c r="A10">
        <v>260515</v>
      </c>
      <c r="B10">
        <v>5</v>
      </c>
      <c r="C10" t="s">
        <v>76</v>
      </c>
      <c r="D10" t="s">
        <v>84</v>
      </c>
      <c r="E10">
        <v>33</v>
      </c>
      <c r="F10" t="s">
        <v>41</v>
      </c>
      <c r="G10">
        <f>VLOOKUP(F10,选手工资!$A:$T,10,FALSE)</f>
        <v>2</v>
      </c>
      <c r="H10" t="s">
        <v>167</v>
      </c>
      <c r="I10">
        <v>4</v>
      </c>
      <c r="J10">
        <v>14</v>
      </c>
      <c r="K10">
        <v>6</v>
      </c>
      <c r="L10">
        <v>13</v>
      </c>
      <c r="M10">
        <v>16</v>
      </c>
      <c r="N10" s="1">
        <v>0.667</v>
      </c>
      <c r="O10" s="1">
        <v>0.137</v>
      </c>
      <c r="P10">
        <v>10437</v>
      </c>
      <c r="Q10">
        <v>14</v>
      </c>
      <c r="R10">
        <v>1</v>
      </c>
      <c r="S10">
        <v>302</v>
      </c>
      <c r="T10">
        <v>332</v>
      </c>
      <c r="U10">
        <v>0</v>
      </c>
      <c r="V10">
        <v>2583</v>
      </c>
      <c r="W10">
        <v>0</v>
      </c>
      <c r="X10">
        <v>11165</v>
      </c>
      <c r="Y10">
        <v>59</v>
      </c>
      <c r="Z10">
        <v>29860</v>
      </c>
      <c r="AA10" s="1">
        <v>0.406</v>
      </c>
      <c r="AB10">
        <v>1109</v>
      </c>
      <c r="AC10" s="3">
        <v>0.236111111111111</v>
      </c>
      <c r="AD10">
        <v>4</v>
      </c>
      <c r="AE10">
        <v>2390</v>
      </c>
      <c r="AF10">
        <v>4</v>
      </c>
      <c r="AG10">
        <v>430</v>
      </c>
      <c r="AH10">
        <v>1</v>
      </c>
      <c r="AI10">
        <v>2</v>
      </c>
    </row>
    <row r="11" spans="1:35">
      <c r="A11">
        <v>260515</v>
      </c>
      <c r="B11">
        <v>5</v>
      </c>
      <c r="C11" t="s">
        <v>76</v>
      </c>
      <c r="D11" t="s">
        <v>84</v>
      </c>
      <c r="E11">
        <v>33</v>
      </c>
      <c r="F11" t="s">
        <v>25</v>
      </c>
      <c r="G11">
        <f>VLOOKUP(F11,选手工资!$A:$T,10,FALSE)</f>
        <v>5.5</v>
      </c>
      <c r="H11" t="s">
        <v>137</v>
      </c>
      <c r="I11">
        <v>5</v>
      </c>
      <c r="J11">
        <v>15</v>
      </c>
      <c r="K11">
        <v>4</v>
      </c>
      <c r="L11">
        <v>8</v>
      </c>
      <c r="M11">
        <v>20</v>
      </c>
      <c r="N11" s="1">
        <v>0.727</v>
      </c>
      <c r="O11" s="1">
        <v>0.105</v>
      </c>
      <c r="P11">
        <v>8046</v>
      </c>
      <c r="Q11">
        <v>52</v>
      </c>
      <c r="R11">
        <v>0</v>
      </c>
      <c r="S11">
        <v>287</v>
      </c>
      <c r="T11">
        <v>395</v>
      </c>
      <c r="U11">
        <v>1</v>
      </c>
      <c r="V11">
        <v>3765</v>
      </c>
      <c r="W11">
        <v>0</v>
      </c>
      <c r="X11">
        <v>8591</v>
      </c>
      <c r="Y11">
        <v>195</v>
      </c>
      <c r="Z11">
        <v>49507</v>
      </c>
      <c r="AA11" s="1">
        <v>0.379</v>
      </c>
      <c r="AB11">
        <v>754</v>
      </c>
      <c r="AC11" s="3">
        <v>0.116666666666667</v>
      </c>
      <c r="AD11">
        <v>8</v>
      </c>
      <c r="AE11">
        <v>2496</v>
      </c>
      <c r="AF11">
        <v>6</v>
      </c>
      <c r="AG11">
        <v>900</v>
      </c>
      <c r="AH11">
        <v>1</v>
      </c>
      <c r="AI11">
        <v>6</v>
      </c>
    </row>
    <row r="14" spans="1:35">
      <c r="A14" t="s">
        <v>90</v>
      </c>
      <c r="B14" s="4">
        <v>8812061742</v>
      </c>
      <c r="C14" s="4"/>
    </row>
    <row r="15" spans="1:35">
      <c r="A15" t="s">
        <v>91</v>
      </c>
      <c r="B15" s="7" t="s">
        <v>219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H9" sqref="H9"/>
    </sheetView>
  </sheetViews>
  <sheetFormatPr defaultColWidth="9.25" defaultRowHeight="16.8"/>
  <cols>
    <col min="31" max="31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260516</v>
      </c>
      <c r="B2">
        <v>1</v>
      </c>
      <c r="C2" t="s">
        <v>83</v>
      </c>
      <c r="D2" t="s">
        <v>77</v>
      </c>
      <c r="E2">
        <v>31</v>
      </c>
      <c r="F2" t="s">
        <v>43</v>
      </c>
      <c r="G2">
        <f>VLOOKUP(F2,选手工资!$A:$T,11,FALSE)</f>
        <v>2</v>
      </c>
      <c r="H2" t="s">
        <v>150</v>
      </c>
      <c r="I2">
        <v>2</v>
      </c>
      <c r="J2">
        <v>24</v>
      </c>
      <c r="K2">
        <v>5</v>
      </c>
      <c r="L2">
        <v>7</v>
      </c>
      <c r="M2">
        <v>12</v>
      </c>
      <c r="N2" s="1">
        <v>0.548</v>
      </c>
      <c r="O2" s="1">
        <v>0.166</v>
      </c>
      <c r="P2">
        <v>20594</v>
      </c>
      <c r="Q2">
        <v>256</v>
      </c>
      <c r="R2">
        <v>11</v>
      </c>
      <c r="S2">
        <v>490</v>
      </c>
      <c r="T2">
        <v>726</v>
      </c>
      <c r="U2">
        <v>1</v>
      </c>
      <c r="V2">
        <v>0</v>
      </c>
      <c r="W2">
        <v>0</v>
      </c>
      <c r="X2">
        <v>21222</v>
      </c>
      <c r="Y2">
        <v>1564</v>
      </c>
      <c r="Z2">
        <v>50371</v>
      </c>
      <c r="AA2" s="1">
        <v>0.506</v>
      </c>
      <c r="AB2">
        <v>1352</v>
      </c>
      <c r="AC2" s="3">
        <v>0.221527777777778</v>
      </c>
      <c r="AD2">
        <v>9</v>
      </c>
      <c r="AE2">
        <v>3334</v>
      </c>
      <c r="AF2">
        <v>8</v>
      </c>
      <c r="AG2">
        <v>100</v>
      </c>
      <c r="AH2">
        <v>0</v>
      </c>
      <c r="AI2">
        <v>4</v>
      </c>
    </row>
    <row r="3" spans="1:35">
      <c r="A3">
        <v>260516</v>
      </c>
      <c r="B3">
        <v>1</v>
      </c>
      <c r="C3" t="s">
        <v>83</v>
      </c>
      <c r="D3" t="s">
        <v>77</v>
      </c>
      <c r="E3">
        <v>31</v>
      </c>
      <c r="F3" t="s">
        <v>36</v>
      </c>
      <c r="G3">
        <f>VLOOKUP(F3,选手工资!$A:$T,11,FALSE)</f>
        <v>3</v>
      </c>
      <c r="H3" t="s">
        <v>130</v>
      </c>
      <c r="I3">
        <v>3</v>
      </c>
      <c r="J3">
        <v>27</v>
      </c>
      <c r="K3">
        <v>10</v>
      </c>
      <c r="L3">
        <v>11</v>
      </c>
      <c r="M3">
        <v>10</v>
      </c>
      <c r="N3" s="1">
        <v>0.645</v>
      </c>
      <c r="O3" s="1">
        <v>0.244</v>
      </c>
      <c r="P3">
        <v>25675</v>
      </c>
      <c r="Q3">
        <v>343</v>
      </c>
      <c r="R3">
        <v>12</v>
      </c>
      <c r="S3">
        <v>603</v>
      </c>
      <c r="T3">
        <v>1037</v>
      </c>
      <c r="U3">
        <v>2</v>
      </c>
      <c r="V3">
        <v>0</v>
      </c>
      <c r="W3">
        <v>1</v>
      </c>
      <c r="X3">
        <v>31208</v>
      </c>
      <c r="Y3">
        <v>7417</v>
      </c>
      <c r="Z3">
        <v>55971</v>
      </c>
      <c r="AA3" s="1">
        <v>0.519</v>
      </c>
      <c r="AB3">
        <v>2425</v>
      </c>
      <c r="AC3" s="3">
        <v>0.393055555555556</v>
      </c>
      <c r="AD3">
        <v>5</v>
      </c>
      <c r="AE3">
        <v>4026</v>
      </c>
      <c r="AF3">
        <v>7</v>
      </c>
      <c r="AG3">
        <v>0</v>
      </c>
      <c r="AH3">
        <v>0</v>
      </c>
      <c r="AI3">
        <v>1</v>
      </c>
    </row>
    <row r="4" spans="1:35">
      <c r="A4">
        <v>260516</v>
      </c>
      <c r="B4">
        <v>1</v>
      </c>
      <c r="C4" t="s">
        <v>83</v>
      </c>
      <c r="D4" t="s">
        <v>77</v>
      </c>
      <c r="E4">
        <v>31</v>
      </c>
      <c r="F4" t="s">
        <v>14</v>
      </c>
      <c r="G4">
        <f>VLOOKUP(F4,选手工资!$A:$T,11,FALSE)</f>
        <v>9.5</v>
      </c>
      <c r="H4" t="s">
        <v>118</v>
      </c>
      <c r="I4">
        <v>1</v>
      </c>
      <c r="J4">
        <v>29</v>
      </c>
      <c r="K4">
        <v>7</v>
      </c>
      <c r="L4">
        <v>3</v>
      </c>
      <c r="M4">
        <v>20</v>
      </c>
      <c r="N4" s="1">
        <v>0.871</v>
      </c>
      <c r="O4" s="1">
        <v>0.341</v>
      </c>
      <c r="P4">
        <v>34780</v>
      </c>
      <c r="Q4">
        <v>500</v>
      </c>
      <c r="R4">
        <v>26</v>
      </c>
      <c r="S4">
        <v>774</v>
      </c>
      <c r="T4">
        <v>1225</v>
      </c>
      <c r="U4">
        <v>3</v>
      </c>
      <c r="V4">
        <v>0</v>
      </c>
      <c r="W4">
        <v>0</v>
      </c>
      <c r="X4">
        <v>43602</v>
      </c>
      <c r="Y4">
        <v>8158</v>
      </c>
      <c r="Z4">
        <v>94634</v>
      </c>
      <c r="AA4" s="1">
        <v>0.533</v>
      </c>
      <c r="AB4">
        <v>580</v>
      </c>
      <c r="AC4" s="3">
        <v>0.0833333333333333</v>
      </c>
      <c r="AD4">
        <v>6</v>
      </c>
      <c r="AE4">
        <v>3641</v>
      </c>
      <c r="AF4">
        <v>6</v>
      </c>
      <c r="AG4">
        <v>100</v>
      </c>
      <c r="AH4">
        <v>0</v>
      </c>
      <c r="AI4">
        <v>2</v>
      </c>
    </row>
    <row r="5" spans="1:35">
      <c r="A5">
        <v>260516</v>
      </c>
      <c r="B5">
        <v>1</v>
      </c>
      <c r="C5" t="s">
        <v>83</v>
      </c>
      <c r="D5" t="s">
        <v>77</v>
      </c>
      <c r="E5">
        <v>31</v>
      </c>
      <c r="F5" t="s">
        <v>40</v>
      </c>
      <c r="G5">
        <f>VLOOKUP(F5,选手工资!$A:$T,11,FALSE)</f>
        <v>2.5</v>
      </c>
      <c r="H5" t="s">
        <v>169</v>
      </c>
      <c r="I5">
        <v>5</v>
      </c>
      <c r="J5">
        <v>20</v>
      </c>
      <c r="K5">
        <v>7</v>
      </c>
      <c r="L5">
        <v>10</v>
      </c>
      <c r="M5">
        <v>11</v>
      </c>
      <c r="N5" s="1">
        <v>0.581</v>
      </c>
      <c r="O5" s="1">
        <v>0.159</v>
      </c>
      <c r="P5">
        <v>14711</v>
      </c>
      <c r="Q5">
        <v>61</v>
      </c>
      <c r="R5">
        <v>15</v>
      </c>
      <c r="S5">
        <v>358</v>
      </c>
      <c r="T5">
        <v>469</v>
      </c>
      <c r="U5">
        <v>3</v>
      </c>
      <c r="V5">
        <v>0</v>
      </c>
      <c r="W5">
        <v>2</v>
      </c>
      <c r="X5">
        <v>20338</v>
      </c>
      <c r="Y5">
        <v>51</v>
      </c>
      <c r="Z5">
        <v>38574</v>
      </c>
      <c r="AA5" s="1">
        <v>0.512</v>
      </c>
      <c r="AB5">
        <v>1516</v>
      </c>
      <c r="AC5" s="3">
        <v>0.292361111111111</v>
      </c>
      <c r="AD5">
        <v>1</v>
      </c>
      <c r="AE5">
        <v>1859</v>
      </c>
      <c r="AF5">
        <v>5</v>
      </c>
      <c r="AG5">
        <v>650</v>
      </c>
      <c r="AH5">
        <v>1</v>
      </c>
      <c r="AI5">
        <v>5</v>
      </c>
    </row>
    <row r="6" spans="1:35">
      <c r="A6">
        <v>260516</v>
      </c>
      <c r="B6">
        <v>1</v>
      </c>
      <c r="C6" t="s">
        <v>83</v>
      </c>
      <c r="D6" t="s">
        <v>77</v>
      </c>
      <c r="E6">
        <v>31</v>
      </c>
      <c r="F6" t="s">
        <v>24</v>
      </c>
      <c r="G6">
        <f>VLOOKUP(F6,选手工资!$A:$T,11,FALSE)</f>
        <v>6.5</v>
      </c>
      <c r="H6" t="s">
        <v>184</v>
      </c>
      <c r="I6">
        <v>4</v>
      </c>
      <c r="J6">
        <v>20</v>
      </c>
      <c r="K6">
        <v>2</v>
      </c>
      <c r="L6">
        <v>13</v>
      </c>
      <c r="M6">
        <v>21</v>
      </c>
      <c r="N6" s="1">
        <v>0.742</v>
      </c>
      <c r="O6" s="1">
        <v>0.09</v>
      </c>
      <c r="P6">
        <v>13715</v>
      </c>
      <c r="Q6">
        <v>81</v>
      </c>
      <c r="R6">
        <v>3</v>
      </c>
      <c r="S6">
        <v>368</v>
      </c>
      <c r="T6">
        <v>484</v>
      </c>
      <c r="U6">
        <v>0</v>
      </c>
      <c r="V6">
        <v>10510</v>
      </c>
      <c r="W6">
        <v>1</v>
      </c>
      <c r="X6">
        <v>11448</v>
      </c>
      <c r="Y6">
        <v>3156</v>
      </c>
      <c r="Z6">
        <v>37858</v>
      </c>
      <c r="AA6" s="1">
        <v>0.416</v>
      </c>
      <c r="AB6">
        <v>957</v>
      </c>
      <c r="AC6" s="3">
        <v>0.29375</v>
      </c>
      <c r="AD6">
        <v>2</v>
      </c>
      <c r="AE6">
        <v>1492</v>
      </c>
      <c r="AF6">
        <v>4</v>
      </c>
      <c r="AG6">
        <v>900</v>
      </c>
      <c r="AH6">
        <v>1</v>
      </c>
      <c r="AI6">
        <v>3</v>
      </c>
    </row>
    <row r="7" spans="1:35">
      <c r="A7">
        <v>260516</v>
      </c>
      <c r="B7">
        <v>1</v>
      </c>
      <c r="C7" t="s">
        <v>76</v>
      </c>
      <c r="D7" t="s">
        <v>84</v>
      </c>
      <c r="E7">
        <v>44</v>
      </c>
      <c r="F7" t="s">
        <v>17</v>
      </c>
      <c r="G7">
        <f>VLOOKUP(F7,选手工资!$A:$T,11,FALSE)</f>
        <v>7.5</v>
      </c>
      <c r="H7" t="s">
        <v>102</v>
      </c>
      <c r="I7">
        <v>2</v>
      </c>
      <c r="J7">
        <v>26</v>
      </c>
      <c r="K7">
        <v>16</v>
      </c>
      <c r="L7">
        <v>3</v>
      </c>
      <c r="M7">
        <v>5</v>
      </c>
      <c r="N7" s="1">
        <v>0.477</v>
      </c>
      <c r="O7" s="1">
        <v>0.291</v>
      </c>
      <c r="P7">
        <v>25536</v>
      </c>
      <c r="Q7">
        <v>374</v>
      </c>
      <c r="R7">
        <v>20</v>
      </c>
      <c r="S7">
        <v>604</v>
      </c>
      <c r="T7">
        <v>878</v>
      </c>
      <c r="U7">
        <v>5</v>
      </c>
      <c r="V7">
        <v>0</v>
      </c>
      <c r="W7">
        <v>0</v>
      </c>
      <c r="X7">
        <v>39883</v>
      </c>
      <c r="Y7">
        <v>1686</v>
      </c>
      <c r="Z7">
        <v>39702</v>
      </c>
      <c r="AA7" s="1">
        <v>0.541</v>
      </c>
      <c r="AB7">
        <v>1815</v>
      </c>
      <c r="AC7" s="3">
        <v>0.205555555555556</v>
      </c>
      <c r="AD7">
        <v>10</v>
      </c>
      <c r="AE7">
        <v>4907</v>
      </c>
      <c r="AF7">
        <v>9</v>
      </c>
      <c r="AG7">
        <v>100</v>
      </c>
      <c r="AH7">
        <v>1</v>
      </c>
      <c r="AI7">
        <v>0</v>
      </c>
    </row>
    <row r="8" spans="1:35">
      <c r="A8">
        <v>260516</v>
      </c>
      <c r="B8">
        <v>1</v>
      </c>
      <c r="C8" t="s">
        <v>76</v>
      </c>
      <c r="D8" t="s">
        <v>84</v>
      </c>
      <c r="E8">
        <v>44</v>
      </c>
      <c r="F8" t="s">
        <v>23</v>
      </c>
      <c r="G8">
        <f>VLOOKUP(F8,选手工资!$A:$T,11,FALSE)</f>
        <v>6.5</v>
      </c>
      <c r="H8" t="s">
        <v>93</v>
      </c>
      <c r="I8">
        <v>1</v>
      </c>
      <c r="J8">
        <v>29</v>
      </c>
      <c r="K8">
        <v>19</v>
      </c>
      <c r="L8">
        <v>4</v>
      </c>
      <c r="M8">
        <v>8</v>
      </c>
      <c r="N8" s="1">
        <v>0.614</v>
      </c>
      <c r="O8" s="1">
        <v>0.314</v>
      </c>
      <c r="P8">
        <v>33620</v>
      </c>
      <c r="Q8">
        <v>551</v>
      </c>
      <c r="R8">
        <v>8</v>
      </c>
      <c r="S8">
        <v>779</v>
      </c>
      <c r="T8">
        <v>1244</v>
      </c>
      <c r="U8">
        <v>2</v>
      </c>
      <c r="V8">
        <v>7399</v>
      </c>
      <c r="W8">
        <v>0</v>
      </c>
      <c r="X8">
        <v>42964</v>
      </c>
      <c r="Y8">
        <v>3184</v>
      </c>
      <c r="Z8">
        <v>67425</v>
      </c>
      <c r="AA8" s="1">
        <v>0.58</v>
      </c>
      <c r="AB8">
        <v>2112</v>
      </c>
      <c r="AC8" s="3">
        <v>0.205555555555556</v>
      </c>
      <c r="AD8">
        <v>8</v>
      </c>
      <c r="AE8">
        <v>4713</v>
      </c>
      <c r="AF8">
        <v>7</v>
      </c>
      <c r="AG8">
        <v>0</v>
      </c>
      <c r="AH8">
        <v>0</v>
      </c>
      <c r="AI8">
        <v>0</v>
      </c>
    </row>
    <row r="9" spans="1:35">
      <c r="A9">
        <v>260516</v>
      </c>
      <c r="B9">
        <v>1</v>
      </c>
      <c r="C9" t="s">
        <v>76</v>
      </c>
      <c r="D9" t="s">
        <v>84</v>
      </c>
      <c r="E9">
        <v>44</v>
      </c>
      <c r="F9" t="s">
        <v>28</v>
      </c>
      <c r="G9">
        <f>VLOOKUP(F9,选手工资!$A:$T,11,FALSE)</f>
        <v>5</v>
      </c>
      <c r="H9" t="s">
        <v>177</v>
      </c>
      <c r="I9">
        <v>3</v>
      </c>
      <c r="J9">
        <v>23</v>
      </c>
      <c r="K9">
        <v>3</v>
      </c>
      <c r="L9">
        <v>9</v>
      </c>
      <c r="M9">
        <v>18</v>
      </c>
      <c r="N9" s="1">
        <v>0.477</v>
      </c>
      <c r="O9" s="1">
        <v>0.111</v>
      </c>
      <c r="P9">
        <v>15511</v>
      </c>
      <c r="Q9">
        <v>224</v>
      </c>
      <c r="R9">
        <v>14</v>
      </c>
      <c r="S9">
        <v>392</v>
      </c>
      <c r="T9">
        <v>640</v>
      </c>
      <c r="U9">
        <v>2</v>
      </c>
      <c r="V9">
        <v>0</v>
      </c>
      <c r="W9">
        <v>1</v>
      </c>
      <c r="X9">
        <v>15186</v>
      </c>
      <c r="Y9">
        <v>434</v>
      </c>
      <c r="Z9">
        <v>64359</v>
      </c>
      <c r="AA9" s="1">
        <v>0.384</v>
      </c>
      <c r="AB9">
        <v>2562</v>
      </c>
      <c r="AC9" s="3">
        <v>0.368055555555556</v>
      </c>
      <c r="AD9">
        <v>7</v>
      </c>
      <c r="AE9">
        <v>2789</v>
      </c>
      <c r="AF9">
        <v>6</v>
      </c>
      <c r="AG9">
        <v>80</v>
      </c>
      <c r="AH9">
        <v>1</v>
      </c>
      <c r="AI9">
        <v>2</v>
      </c>
    </row>
    <row r="10" spans="1:35">
      <c r="A10">
        <v>260516</v>
      </c>
      <c r="B10">
        <v>1</v>
      </c>
      <c r="C10" t="s">
        <v>76</v>
      </c>
      <c r="D10" t="s">
        <v>84</v>
      </c>
      <c r="E10">
        <v>44</v>
      </c>
      <c r="F10" t="s">
        <v>41</v>
      </c>
      <c r="G10">
        <f>VLOOKUP(F10,选手工资!$A:$T,11,FALSE)</f>
        <v>2</v>
      </c>
      <c r="H10" t="s">
        <v>167</v>
      </c>
      <c r="I10">
        <v>5</v>
      </c>
      <c r="J10">
        <v>21</v>
      </c>
      <c r="K10">
        <v>2</v>
      </c>
      <c r="L10">
        <v>8</v>
      </c>
      <c r="M10">
        <v>15</v>
      </c>
      <c r="N10" s="1">
        <v>0.386</v>
      </c>
      <c r="O10" s="1">
        <v>0.122</v>
      </c>
      <c r="P10">
        <v>11186</v>
      </c>
      <c r="Q10">
        <v>37</v>
      </c>
      <c r="R10">
        <v>1</v>
      </c>
      <c r="S10">
        <v>287</v>
      </c>
      <c r="T10">
        <v>530</v>
      </c>
      <c r="U10">
        <v>3</v>
      </c>
      <c r="V10">
        <v>3014</v>
      </c>
      <c r="W10">
        <v>0</v>
      </c>
      <c r="X10">
        <v>16762</v>
      </c>
      <c r="Y10">
        <v>0</v>
      </c>
      <c r="Z10">
        <v>39304</v>
      </c>
      <c r="AA10" s="1">
        <v>0.418</v>
      </c>
      <c r="AB10">
        <v>940</v>
      </c>
      <c r="AC10" s="3">
        <v>0.202777777777778</v>
      </c>
      <c r="AD10">
        <v>4</v>
      </c>
      <c r="AE10">
        <v>1831</v>
      </c>
      <c r="AF10">
        <v>5</v>
      </c>
      <c r="AG10">
        <v>930</v>
      </c>
      <c r="AH10">
        <v>1</v>
      </c>
      <c r="AI10">
        <v>7</v>
      </c>
    </row>
    <row r="11" spans="1:35">
      <c r="A11">
        <v>260516</v>
      </c>
      <c r="B11">
        <v>1</v>
      </c>
      <c r="C11" t="s">
        <v>76</v>
      </c>
      <c r="D11" t="s">
        <v>84</v>
      </c>
      <c r="E11">
        <v>44</v>
      </c>
      <c r="F11" t="s">
        <v>38</v>
      </c>
      <c r="G11">
        <f>VLOOKUP(F11,选手工资!$A:$T,11,FALSE)</f>
        <v>2.5</v>
      </c>
      <c r="H11" t="s">
        <v>220</v>
      </c>
      <c r="I11">
        <v>4</v>
      </c>
      <c r="J11">
        <v>20</v>
      </c>
      <c r="K11">
        <v>4</v>
      </c>
      <c r="L11">
        <v>7</v>
      </c>
      <c r="M11">
        <v>15</v>
      </c>
      <c r="N11" s="1">
        <v>0.432</v>
      </c>
      <c r="O11" s="1">
        <v>0.162</v>
      </c>
      <c r="P11">
        <v>13440</v>
      </c>
      <c r="Q11">
        <v>262</v>
      </c>
      <c r="R11">
        <v>3</v>
      </c>
      <c r="S11">
        <v>402</v>
      </c>
      <c r="T11">
        <v>471</v>
      </c>
      <c r="U11">
        <v>2</v>
      </c>
      <c r="V11">
        <v>125</v>
      </c>
      <c r="W11">
        <v>0</v>
      </c>
      <c r="X11">
        <v>22129</v>
      </c>
      <c r="Y11">
        <v>313</v>
      </c>
      <c r="Z11">
        <v>36292</v>
      </c>
      <c r="AA11" s="1">
        <v>0.484</v>
      </c>
      <c r="AB11">
        <v>1650</v>
      </c>
      <c r="AC11" s="3">
        <v>0.25625</v>
      </c>
      <c r="AD11">
        <v>3</v>
      </c>
      <c r="AE11">
        <v>1806</v>
      </c>
      <c r="AF11">
        <v>5</v>
      </c>
      <c r="AG11">
        <v>510</v>
      </c>
      <c r="AH11">
        <v>5</v>
      </c>
      <c r="AI11">
        <v>5</v>
      </c>
    </row>
    <row r="14" spans="1:35">
      <c r="A14" t="s">
        <v>90</v>
      </c>
      <c r="B14" s="4">
        <v>8813198599</v>
      </c>
      <c r="C14" s="4"/>
    </row>
    <row r="15" spans="1:35">
      <c r="A15" t="s">
        <v>91</v>
      </c>
      <c r="B15" s="7" t="s">
        <v>221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H9" sqref="H9"/>
    </sheetView>
  </sheetViews>
  <sheetFormatPr defaultColWidth="9.25" defaultRowHeight="16.8"/>
  <cols>
    <col min="6" max="6" width="22.5" customWidth="1"/>
    <col min="31" max="32" width="12.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260516</v>
      </c>
      <c r="B2">
        <v>2</v>
      </c>
      <c r="C2" t="s">
        <v>83</v>
      </c>
      <c r="D2" t="s">
        <v>84</v>
      </c>
      <c r="E2">
        <v>40</v>
      </c>
      <c r="F2" t="s">
        <v>19</v>
      </c>
      <c r="G2">
        <f>VLOOKUP(F2,选手工资!$A:$T,11,FALSE)</f>
        <v>7.5</v>
      </c>
      <c r="H2" t="s">
        <v>125</v>
      </c>
      <c r="I2">
        <v>2</v>
      </c>
      <c r="J2">
        <v>29</v>
      </c>
      <c r="K2">
        <v>15</v>
      </c>
      <c r="L2">
        <v>9</v>
      </c>
      <c r="M2">
        <v>16</v>
      </c>
      <c r="N2" s="1">
        <v>0.775</v>
      </c>
      <c r="O2" s="1">
        <v>0.368</v>
      </c>
      <c r="P2">
        <v>28105</v>
      </c>
      <c r="Q2">
        <v>602</v>
      </c>
      <c r="R2">
        <v>9</v>
      </c>
      <c r="S2">
        <v>694</v>
      </c>
      <c r="T2">
        <v>1036</v>
      </c>
      <c r="U2">
        <v>0</v>
      </c>
      <c r="V2">
        <v>0</v>
      </c>
      <c r="W2">
        <v>3</v>
      </c>
      <c r="X2">
        <v>63325</v>
      </c>
      <c r="Y2">
        <v>171</v>
      </c>
      <c r="Z2">
        <v>101966</v>
      </c>
      <c r="AA2" s="1">
        <v>0.572</v>
      </c>
      <c r="AB2">
        <v>3166</v>
      </c>
      <c r="AC2" s="3">
        <v>0.324305555555556</v>
      </c>
      <c r="AD2">
        <v>6</v>
      </c>
      <c r="AE2">
        <v>4185</v>
      </c>
      <c r="AF2">
        <v>8</v>
      </c>
      <c r="AG2">
        <v>180</v>
      </c>
      <c r="AH2">
        <v>0</v>
      </c>
      <c r="AI2">
        <v>1</v>
      </c>
    </row>
    <row r="3" spans="1:35">
      <c r="A3">
        <v>260516</v>
      </c>
      <c r="B3">
        <v>2</v>
      </c>
      <c r="C3" t="s">
        <v>83</v>
      </c>
      <c r="D3" t="s">
        <v>84</v>
      </c>
      <c r="E3">
        <v>40</v>
      </c>
      <c r="F3" t="s">
        <v>20</v>
      </c>
      <c r="G3">
        <f>VLOOKUP(F3,选手工资!$A:$T,11,FALSE)</f>
        <v>6</v>
      </c>
      <c r="H3" t="s">
        <v>93</v>
      </c>
      <c r="I3">
        <v>1</v>
      </c>
      <c r="J3">
        <v>29</v>
      </c>
      <c r="K3">
        <v>12</v>
      </c>
      <c r="L3">
        <v>10</v>
      </c>
      <c r="M3">
        <v>12</v>
      </c>
      <c r="N3" s="1">
        <v>0.6</v>
      </c>
      <c r="O3" s="1">
        <v>0.269</v>
      </c>
      <c r="P3">
        <v>34851</v>
      </c>
      <c r="Q3">
        <v>596</v>
      </c>
      <c r="R3">
        <v>7</v>
      </c>
      <c r="S3">
        <v>665</v>
      </c>
      <c r="T3">
        <v>978</v>
      </c>
      <c r="U3">
        <v>2</v>
      </c>
      <c r="V3">
        <v>11552</v>
      </c>
      <c r="W3">
        <v>0</v>
      </c>
      <c r="X3">
        <v>46227</v>
      </c>
      <c r="Y3">
        <v>4757</v>
      </c>
      <c r="Z3">
        <v>95068</v>
      </c>
      <c r="AA3" s="1">
        <v>0.588</v>
      </c>
      <c r="AB3">
        <v>3173</v>
      </c>
      <c r="AC3" s="3">
        <v>0.273611111111111</v>
      </c>
      <c r="AD3">
        <v>9</v>
      </c>
      <c r="AE3">
        <v>3655</v>
      </c>
      <c r="AF3">
        <v>6</v>
      </c>
      <c r="AG3">
        <v>0</v>
      </c>
      <c r="AH3">
        <v>2</v>
      </c>
      <c r="AI3">
        <v>1</v>
      </c>
    </row>
    <row r="4" spans="1:35">
      <c r="A4">
        <v>260516</v>
      </c>
      <c r="B4">
        <v>2</v>
      </c>
      <c r="C4" t="s">
        <v>83</v>
      </c>
      <c r="D4" t="s">
        <v>84</v>
      </c>
      <c r="E4">
        <v>40</v>
      </c>
      <c r="F4" t="s">
        <v>17</v>
      </c>
      <c r="G4">
        <f>VLOOKUP(F4,选手工资!$A:$T,11,FALSE)</f>
        <v>7.5</v>
      </c>
      <c r="H4" t="s">
        <v>177</v>
      </c>
      <c r="I4">
        <v>3</v>
      </c>
      <c r="J4">
        <v>28</v>
      </c>
      <c r="K4">
        <v>8</v>
      </c>
      <c r="L4">
        <v>7</v>
      </c>
      <c r="M4">
        <v>25</v>
      </c>
      <c r="N4" s="1">
        <v>0.825</v>
      </c>
      <c r="O4" s="1">
        <v>0.141</v>
      </c>
      <c r="P4">
        <v>28318</v>
      </c>
      <c r="Q4">
        <v>465</v>
      </c>
      <c r="R4">
        <v>21</v>
      </c>
      <c r="S4">
        <v>569</v>
      </c>
      <c r="T4">
        <v>862</v>
      </c>
      <c r="U4">
        <v>1</v>
      </c>
      <c r="V4">
        <v>0</v>
      </c>
      <c r="W4">
        <v>1</v>
      </c>
      <c r="X4">
        <v>24205</v>
      </c>
      <c r="Y4">
        <v>0</v>
      </c>
      <c r="Z4">
        <v>95230</v>
      </c>
      <c r="AA4" s="1">
        <v>0.535</v>
      </c>
      <c r="AB4">
        <v>2610</v>
      </c>
      <c r="AC4" s="3">
        <v>0.263888888888889</v>
      </c>
      <c r="AD4">
        <v>5</v>
      </c>
      <c r="AE4">
        <v>4257</v>
      </c>
      <c r="AF4">
        <v>6</v>
      </c>
      <c r="AG4">
        <v>0</v>
      </c>
      <c r="AH4">
        <v>0</v>
      </c>
      <c r="AI4">
        <v>1</v>
      </c>
    </row>
    <row r="5" spans="1:35">
      <c r="A5">
        <v>260516</v>
      </c>
      <c r="B5">
        <v>2</v>
      </c>
      <c r="C5" t="s">
        <v>83</v>
      </c>
      <c r="D5" t="s">
        <v>84</v>
      </c>
      <c r="E5">
        <v>40</v>
      </c>
      <c r="F5" t="s">
        <v>25</v>
      </c>
      <c r="G5">
        <f>VLOOKUP(F5,选手工资!$A:$T,11,FALSE)</f>
        <v>5.5</v>
      </c>
      <c r="H5" t="s">
        <v>106</v>
      </c>
      <c r="I5">
        <v>4</v>
      </c>
      <c r="J5">
        <v>23</v>
      </c>
      <c r="K5">
        <v>3</v>
      </c>
      <c r="L5">
        <v>12</v>
      </c>
      <c r="M5">
        <v>26</v>
      </c>
      <c r="N5" s="1">
        <v>0.725</v>
      </c>
      <c r="O5" s="1">
        <v>0.088</v>
      </c>
      <c r="P5">
        <v>10140</v>
      </c>
      <c r="Q5">
        <v>66</v>
      </c>
      <c r="R5">
        <v>0</v>
      </c>
      <c r="S5">
        <v>282</v>
      </c>
      <c r="T5">
        <v>486</v>
      </c>
      <c r="U5">
        <v>2</v>
      </c>
      <c r="V5">
        <v>0</v>
      </c>
      <c r="W5">
        <v>1</v>
      </c>
      <c r="X5">
        <v>15161</v>
      </c>
      <c r="Y5">
        <v>0</v>
      </c>
      <c r="Z5">
        <v>47928</v>
      </c>
      <c r="AA5" s="1">
        <v>0.452</v>
      </c>
      <c r="AB5">
        <v>1760</v>
      </c>
      <c r="AC5" s="3">
        <v>0.347222222222222</v>
      </c>
      <c r="AD5">
        <v>2</v>
      </c>
      <c r="AE5">
        <v>2384</v>
      </c>
      <c r="AF5">
        <v>5</v>
      </c>
      <c r="AG5">
        <v>2000</v>
      </c>
      <c r="AH5">
        <v>6</v>
      </c>
      <c r="AI5">
        <v>13</v>
      </c>
    </row>
    <row r="6" spans="1:35">
      <c r="A6">
        <v>260516</v>
      </c>
      <c r="B6">
        <v>2</v>
      </c>
      <c r="C6" t="s">
        <v>83</v>
      </c>
      <c r="D6" t="s">
        <v>84</v>
      </c>
      <c r="E6">
        <v>40</v>
      </c>
      <c r="F6" t="s">
        <v>24</v>
      </c>
      <c r="G6">
        <f>VLOOKUP(F6,选手工资!$A:$T,11,FALSE)</f>
        <v>6.5</v>
      </c>
      <c r="H6" t="s">
        <v>169</v>
      </c>
      <c r="I6">
        <v>5</v>
      </c>
      <c r="J6">
        <v>22</v>
      </c>
      <c r="K6">
        <v>1</v>
      </c>
      <c r="L6">
        <v>22</v>
      </c>
      <c r="M6">
        <v>22</v>
      </c>
      <c r="N6" s="1">
        <v>0.575</v>
      </c>
      <c r="O6" s="1">
        <v>0.134</v>
      </c>
      <c r="P6">
        <v>11468</v>
      </c>
      <c r="Q6">
        <v>42</v>
      </c>
      <c r="R6">
        <v>18</v>
      </c>
      <c r="S6">
        <v>286</v>
      </c>
      <c r="T6">
        <v>455</v>
      </c>
      <c r="U6">
        <v>2</v>
      </c>
      <c r="V6">
        <v>0</v>
      </c>
      <c r="W6">
        <v>3</v>
      </c>
      <c r="X6">
        <v>23054</v>
      </c>
      <c r="Y6">
        <v>0</v>
      </c>
      <c r="Z6">
        <v>54765</v>
      </c>
      <c r="AA6" s="1">
        <v>0.41</v>
      </c>
      <c r="AB6">
        <v>1600</v>
      </c>
      <c r="AC6" s="3">
        <v>0.45</v>
      </c>
      <c r="AD6">
        <v>1</v>
      </c>
      <c r="AE6">
        <v>1286</v>
      </c>
      <c r="AF6">
        <v>5</v>
      </c>
      <c r="AG6">
        <v>1150</v>
      </c>
      <c r="AH6">
        <v>0</v>
      </c>
      <c r="AI6">
        <v>7</v>
      </c>
    </row>
    <row r="7" spans="1:35">
      <c r="A7">
        <v>260516</v>
      </c>
      <c r="B7">
        <v>2</v>
      </c>
      <c r="C7" t="s">
        <v>76</v>
      </c>
      <c r="D7" t="s">
        <v>77</v>
      </c>
      <c r="E7">
        <v>59</v>
      </c>
      <c r="F7" t="s">
        <v>14</v>
      </c>
      <c r="G7">
        <f>VLOOKUP(F7,选手工资!$A:$T,11,FALSE)</f>
        <v>9.5</v>
      </c>
      <c r="H7" t="s">
        <v>103</v>
      </c>
      <c r="I7">
        <v>2</v>
      </c>
      <c r="J7">
        <v>29</v>
      </c>
      <c r="K7">
        <v>10</v>
      </c>
      <c r="L7">
        <v>7</v>
      </c>
      <c r="M7">
        <v>28</v>
      </c>
      <c r="N7" s="1">
        <v>0.644</v>
      </c>
      <c r="O7" s="1">
        <v>0.292</v>
      </c>
      <c r="P7">
        <v>32749</v>
      </c>
      <c r="Q7">
        <v>463</v>
      </c>
      <c r="R7">
        <v>7</v>
      </c>
      <c r="S7">
        <v>673</v>
      </c>
      <c r="T7">
        <v>1072</v>
      </c>
      <c r="U7">
        <v>7</v>
      </c>
      <c r="V7">
        <v>1066</v>
      </c>
      <c r="W7">
        <v>1</v>
      </c>
      <c r="X7">
        <v>54186</v>
      </c>
      <c r="Y7">
        <v>3340</v>
      </c>
      <c r="Z7">
        <v>124946</v>
      </c>
      <c r="AA7" s="1">
        <v>0.628</v>
      </c>
      <c r="AB7">
        <v>3573</v>
      </c>
      <c r="AC7" s="3">
        <v>0.284722222222222</v>
      </c>
      <c r="AD7">
        <v>8</v>
      </c>
      <c r="AE7">
        <v>4108</v>
      </c>
      <c r="AF7">
        <v>8</v>
      </c>
      <c r="AG7">
        <v>0</v>
      </c>
      <c r="AH7">
        <v>0</v>
      </c>
      <c r="AI7">
        <v>2</v>
      </c>
    </row>
    <row r="8" spans="1:35">
      <c r="A8">
        <v>260516</v>
      </c>
      <c r="B8">
        <v>2</v>
      </c>
      <c r="C8" t="s">
        <v>76</v>
      </c>
      <c r="D8" t="s">
        <v>77</v>
      </c>
      <c r="E8">
        <v>59</v>
      </c>
      <c r="F8" t="s">
        <v>28</v>
      </c>
      <c r="G8">
        <f>VLOOKUP(F8,选手工资!$A:$T,11,FALSE)</f>
        <v>5</v>
      </c>
      <c r="H8" t="s">
        <v>95</v>
      </c>
      <c r="I8">
        <v>4</v>
      </c>
      <c r="J8">
        <v>26</v>
      </c>
      <c r="K8">
        <v>10</v>
      </c>
      <c r="L8">
        <v>6</v>
      </c>
      <c r="M8">
        <v>32</v>
      </c>
      <c r="N8" s="1">
        <v>0.712</v>
      </c>
      <c r="O8" s="1">
        <v>0.114</v>
      </c>
      <c r="P8">
        <v>17623</v>
      </c>
      <c r="Q8">
        <v>121</v>
      </c>
      <c r="R8">
        <v>3</v>
      </c>
      <c r="S8">
        <v>415</v>
      </c>
      <c r="T8">
        <v>697</v>
      </c>
      <c r="U8">
        <v>7</v>
      </c>
      <c r="V8">
        <v>1892</v>
      </c>
      <c r="W8">
        <v>2</v>
      </c>
      <c r="X8">
        <v>21246</v>
      </c>
      <c r="Y8">
        <v>984</v>
      </c>
      <c r="Z8">
        <v>44964</v>
      </c>
      <c r="AA8" s="1">
        <v>0.447</v>
      </c>
      <c r="AB8">
        <v>1271</v>
      </c>
      <c r="AC8" s="3">
        <v>0.161805555555556</v>
      </c>
      <c r="AD8">
        <v>3</v>
      </c>
      <c r="AE8">
        <v>2861</v>
      </c>
      <c r="AF8">
        <v>7</v>
      </c>
      <c r="AG8">
        <v>3100</v>
      </c>
      <c r="AH8">
        <v>1</v>
      </c>
      <c r="AI8">
        <v>16</v>
      </c>
    </row>
    <row r="9" spans="1:35">
      <c r="A9">
        <v>260516</v>
      </c>
      <c r="B9">
        <v>2</v>
      </c>
      <c r="C9" t="s">
        <v>76</v>
      </c>
      <c r="D9" t="s">
        <v>77</v>
      </c>
      <c r="E9">
        <v>59</v>
      </c>
      <c r="F9" t="s">
        <v>21</v>
      </c>
      <c r="G9">
        <f>VLOOKUP(F9,选手工资!$A:$T,11,FALSE)</f>
        <v>6.5</v>
      </c>
      <c r="H9" t="s">
        <v>222</v>
      </c>
      <c r="I9">
        <v>1</v>
      </c>
      <c r="J9">
        <v>30</v>
      </c>
      <c r="K9">
        <v>26</v>
      </c>
      <c r="L9">
        <v>5</v>
      </c>
      <c r="M9">
        <v>5</v>
      </c>
      <c r="N9" s="1">
        <v>0.525</v>
      </c>
      <c r="O9" s="1">
        <v>0.312</v>
      </c>
      <c r="P9">
        <v>44072</v>
      </c>
      <c r="Q9">
        <v>610</v>
      </c>
      <c r="R9">
        <v>10</v>
      </c>
      <c r="S9">
        <v>836</v>
      </c>
      <c r="T9">
        <v>1088</v>
      </c>
      <c r="U9">
        <v>4</v>
      </c>
      <c r="V9">
        <v>0</v>
      </c>
      <c r="W9">
        <v>2</v>
      </c>
      <c r="X9">
        <v>57980</v>
      </c>
      <c r="Y9">
        <v>19141</v>
      </c>
      <c r="Z9">
        <v>96996</v>
      </c>
      <c r="AA9" s="1">
        <v>0.557</v>
      </c>
      <c r="AB9">
        <v>3024</v>
      </c>
      <c r="AC9" s="3">
        <v>0.257638888888889</v>
      </c>
      <c r="AD9">
        <v>10</v>
      </c>
      <c r="AE9">
        <v>4100</v>
      </c>
      <c r="AF9">
        <v>6</v>
      </c>
      <c r="AG9">
        <v>0</v>
      </c>
      <c r="AH9">
        <v>0</v>
      </c>
      <c r="AI9">
        <v>0</v>
      </c>
    </row>
    <row r="10" spans="1:35">
      <c r="A10">
        <v>260516</v>
      </c>
      <c r="B10">
        <v>2</v>
      </c>
      <c r="C10" t="s">
        <v>76</v>
      </c>
      <c r="D10" t="s">
        <v>77</v>
      </c>
      <c r="E10">
        <v>59</v>
      </c>
      <c r="F10" t="s">
        <v>13</v>
      </c>
      <c r="G10">
        <f>VLOOKUP(F10,选手工资!$A:$T,11,FALSE)</f>
        <v>10</v>
      </c>
      <c r="H10" t="s">
        <v>143</v>
      </c>
      <c r="I10">
        <v>3</v>
      </c>
      <c r="J10">
        <v>29</v>
      </c>
      <c r="K10">
        <v>8</v>
      </c>
      <c r="L10">
        <v>11</v>
      </c>
      <c r="M10">
        <v>26</v>
      </c>
      <c r="N10" s="1">
        <v>0.576</v>
      </c>
      <c r="O10" s="1">
        <v>0.177</v>
      </c>
      <c r="P10">
        <v>34568</v>
      </c>
      <c r="Q10">
        <v>467</v>
      </c>
      <c r="R10">
        <v>15</v>
      </c>
      <c r="S10">
        <v>602</v>
      </c>
      <c r="T10">
        <v>973</v>
      </c>
      <c r="U10">
        <v>6</v>
      </c>
      <c r="V10">
        <v>0</v>
      </c>
      <c r="W10">
        <v>1</v>
      </c>
      <c r="X10">
        <v>32818</v>
      </c>
      <c r="Y10">
        <v>3088</v>
      </c>
      <c r="Z10">
        <v>80180</v>
      </c>
      <c r="AA10" s="1">
        <v>0.591</v>
      </c>
      <c r="AB10">
        <v>2878</v>
      </c>
      <c r="AC10" s="3">
        <v>0.355555555555556</v>
      </c>
      <c r="AD10">
        <v>4</v>
      </c>
      <c r="AE10">
        <v>5287</v>
      </c>
      <c r="AF10">
        <v>8</v>
      </c>
      <c r="AG10">
        <v>80</v>
      </c>
      <c r="AH10">
        <v>2</v>
      </c>
      <c r="AI10">
        <v>2</v>
      </c>
    </row>
    <row r="11" spans="1:35">
      <c r="A11">
        <v>260516</v>
      </c>
      <c r="B11">
        <v>2</v>
      </c>
      <c r="C11" t="s">
        <v>76</v>
      </c>
      <c r="D11" t="s">
        <v>77</v>
      </c>
      <c r="E11">
        <v>59</v>
      </c>
      <c r="F11" t="s">
        <v>40</v>
      </c>
      <c r="G11">
        <f>VLOOKUP(F11,选手工资!$A:$T,11,FALSE)</f>
        <v>2.5</v>
      </c>
      <c r="H11" t="s">
        <v>124</v>
      </c>
      <c r="I11">
        <v>5</v>
      </c>
      <c r="J11">
        <v>25</v>
      </c>
      <c r="K11">
        <v>4</v>
      </c>
      <c r="L11">
        <v>11</v>
      </c>
      <c r="M11">
        <v>19</v>
      </c>
      <c r="N11" s="1">
        <v>0.39</v>
      </c>
      <c r="O11" s="1">
        <v>0.105</v>
      </c>
      <c r="P11">
        <v>16271</v>
      </c>
      <c r="Q11">
        <v>112</v>
      </c>
      <c r="R11">
        <v>2</v>
      </c>
      <c r="S11">
        <v>325</v>
      </c>
      <c r="T11">
        <v>613</v>
      </c>
      <c r="U11">
        <v>1</v>
      </c>
      <c r="V11">
        <v>0</v>
      </c>
      <c r="W11">
        <v>2</v>
      </c>
      <c r="X11">
        <v>19432</v>
      </c>
      <c r="Y11">
        <v>1827</v>
      </c>
      <c r="Z11">
        <v>35053</v>
      </c>
      <c r="AA11" s="1">
        <v>0.29</v>
      </c>
      <c r="AB11">
        <v>1609</v>
      </c>
      <c r="AC11" s="3">
        <v>0.313888888888889</v>
      </c>
      <c r="AD11">
        <v>7</v>
      </c>
      <c r="AE11">
        <v>1820</v>
      </c>
      <c r="AF11">
        <v>5</v>
      </c>
      <c r="AG11">
        <v>630</v>
      </c>
      <c r="AH11">
        <v>1</v>
      </c>
      <c r="AI11">
        <v>4</v>
      </c>
    </row>
    <row r="14" spans="1:35">
      <c r="A14" t="s">
        <v>90</v>
      </c>
      <c r="B14" s="4">
        <v>8813280808</v>
      </c>
      <c r="C14" s="4"/>
    </row>
    <row r="15" spans="1:35">
      <c r="A15" t="s">
        <v>91</v>
      </c>
      <c r="B15" s="7" t="s">
        <v>223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H9" sqref="H9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260516</v>
      </c>
      <c r="B2">
        <v>3</v>
      </c>
      <c r="C2" t="s">
        <v>83</v>
      </c>
      <c r="D2" t="s">
        <v>77</v>
      </c>
      <c r="E2">
        <v>26</v>
      </c>
      <c r="F2" t="s">
        <v>19</v>
      </c>
      <c r="G2">
        <f>VLOOKUP(F2,选手工资!$A:$T,11,FALSE)</f>
        <v>7.5</v>
      </c>
      <c r="H2" t="s">
        <v>182</v>
      </c>
      <c r="I2">
        <v>2</v>
      </c>
      <c r="J2">
        <v>17</v>
      </c>
      <c r="K2">
        <v>13</v>
      </c>
      <c r="L2">
        <v>0</v>
      </c>
      <c r="M2">
        <v>6</v>
      </c>
      <c r="N2" s="1">
        <v>0.731</v>
      </c>
      <c r="O2" s="1">
        <v>0.356</v>
      </c>
      <c r="P2">
        <v>15192</v>
      </c>
      <c r="Q2">
        <v>155</v>
      </c>
      <c r="R2">
        <v>5</v>
      </c>
      <c r="S2">
        <v>688</v>
      </c>
      <c r="T2">
        <v>781</v>
      </c>
      <c r="U2">
        <v>1</v>
      </c>
      <c r="V2">
        <v>0</v>
      </c>
      <c r="W2">
        <v>1</v>
      </c>
      <c r="X2">
        <v>23559</v>
      </c>
      <c r="Y2">
        <v>5526</v>
      </c>
      <c r="Z2">
        <v>16237</v>
      </c>
      <c r="AA2" s="1">
        <v>0.344</v>
      </c>
      <c r="AB2">
        <v>0</v>
      </c>
      <c r="AC2" s="3">
        <v>0</v>
      </c>
      <c r="AD2">
        <v>9</v>
      </c>
      <c r="AE2">
        <v>4731</v>
      </c>
      <c r="AF2">
        <v>9</v>
      </c>
      <c r="AG2">
        <v>100</v>
      </c>
      <c r="AH2">
        <v>0</v>
      </c>
      <c r="AI2">
        <v>2</v>
      </c>
    </row>
    <row r="3" spans="1:35">
      <c r="A3">
        <v>260516</v>
      </c>
      <c r="B3">
        <v>3</v>
      </c>
      <c r="C3" t="s">
        <v>83</v>
      </c>
      <c r="D3" t="s">
        <v>77</v>
      </c>
      <c r="E3">
        <v>26</v>
      </c>
      <c r="F3" t="s">
        <v>21</v>
      </c>
      <c r="G3">
        <f>VLOOKUP(F3,选手工资!$A:$T,11,FALSE)</f>
        <v>6.5</v>
      </c>
      <c r="H3" t="s">
        <v>129</v>
      </c>
      <c r="I3">
        <v>3</v>
      </c>
      <c r="J3">
        <v>15</v>
      </c>
      <c r="K3">
        <v>5</v>
      </c>
      <c r="L3">
        <v>4</v>
      </c>
      <c r="M3">
        <v>6</v>
      </c>
      <c r="N3" s="1">
        <v>0.423</v>
      </c>
      <c r="O3" s="1">
        <v>0.241</v>
      </c>
      <c r="P3">
        <v>10805</v>
      </c>
      <c r="Q3">
        <v>158</v>
      </c>
      <c r="R3">
        <v>7</v>
      </c>
      <c r="S3">
        <v>488</v>
      </c>
      <c r="T3">
        <v>611</v>
      </c>
      <c r="U3">
        <v>0</v>
      </c>
      <c r="V3">
        <v>0</v>
      </c>
      <c r="W3">
        <v>0</v>
      </c>
      <c r="X3">
        <v>15907</v>
      </c>
      <c r="Y3">
        <v>196</v>
      </c>
      <c r="Z3">
        <v>24865</v>
      </c>
      <c r="AA3" s="1">
        <v>0.436</v>
      </c>
      <c r="AB3">
        <v>353</v>
      </c>
      <c r="AC3" s="3">
        <v>0.0736111111111111</v>
      </c>
      <c r="AD3">
        <v>6</v>
      </c>
      <c r="AE3">
        <v>3931</v>
      </c>
      <c r="AF3">
        <v>7</v>
      </c>
      <c r="AG3">
        <v>0</v>
      </c>
      <c r="AH3">
        <v>0</v>
      </c>
      <c r="AI3">
        <v>0</v>
      </c>
    </row>
    <row r="4" spans="1:35">
      <c r="A4">
        <v>260516</v>
      </c>
      <c r="B4">
        <v>3</v>
      </c>
      <c r="C4" t="s">
        <v>83</v>
      </c>
      <c r="D4" t="s">
        <v>77</v>
      </c>
      <c r="E4">
        <v>26</v>
      </c>
      <c r="F4" t="s">
        <v>13</v>
      </c>
      <c r="G4">
        <f>VLOOKUP(F4,选手工资!$A:$T,11,FALSE)</f>
        <v>10</v>
      </c>
      <c r="H4" t="s">
        <v>110</v>
      </c>
      <c r="I4">
        <v>1</v>
      </c>
      <c r="J4">
        <v>13</v>
      </c>
      <c r="K4">
        <v>3</v>
      </c>
      <c r="L4">
        <v>1</v>
      </c>
      <c r="M4">
        <v>8</v>
      </c>
      <c r="N4" s="1">
        <v>0.423</v>
      </c>
      <c r="O4" s="1">
        <v>0.198</v>
      </c>
      <c r="P4">
        <v>11175</v>
      </c>
      <c r="Q4">
        <v>175</v>
      </c>
      <c r="R4">
        <v>11</v>
      </c>
      <c r="S4">
        <v>501</v>
      </c>
      <c r="T4">
        <v>495</v>
      </c>
      <c r="U4">
        <v>5</v>
      </c>
      <c r="V4">
        <v>0</v>
      </c>
      <c r="W4">
        <v>0</v>
      </c>
      <c r="X4">
        <v>13059</v>
      </c>
      <c r="Y4">
        <v>300</v>
      </c>
      <c r="Z4">
        <v>9143</v>
      </c>
      <c r="AA4" s="1">
        <v>0.422</v>
      </c>
      <c r="AB4">
        <v>18</v>
      </c>
      <c r="AC4" s="3">
        <v>0.00902777777777778</v>
      </c>
      <c r="AD4">
        <v>5</v>
      </c>
      <c r="AE4">
        <v>3686</v>
      </c>
      <c r="AF4">
        <v>6</v>
      </c>
      <c r="AG4">
        <v>0</v>
      </c>
      <c r="AH4">
        <v>1</v>
      </c>
      <c r="AI4">
        <v>1</v>
      </c>
    </row>
    <row r="5" spans="1:35">
      <c r="A5">
        <v>260516</v>
      </c>
      <c r="B5">
        <v>3</v>
      </c>
      <c r="C5" t="s">
        <v>83</v>
      </c>
      <c r="D5" t="s">
        <v>77</v>
      </c>
      <c r="E5">
        <v>26</v>
      </c>
      <c r="F5" t="s">
        <v>36</v>
      </c>
      <c r="G5">
        <f>VLOOKUP(F5,选手工资!$A:$T,11,FALSE)</f>
        <v>3</v>
      </c>
      <c r="H5" t="s">
        <v>153</v>
      </c>
      <c r="I5">
        <v>4</v>
      </c>
      <c r="J5">
        <v>12</v>
      </c>
      <c r="K5">
        <v>4</v>
      </c>
      <c r="L5">
        <v>8</v>
      </c>
      <c r="M5">
        <v>12</v>
      </c>
      <c r="N5" s="1">
        <v>0.615</v>
      </c>
      <c r="O5" s="1">
        <v>0.094</v>
      </c>
      <c r="P5">
        <v>5390</v>
      </c>
      <c r="Q5">
        <v>13</v>
      </c>
      <c r="R5">
        <v>2</v>
      </c>
      <c r="S5">
        <v>275</v>
      </c>
      <c r="T5">
        <v>399</v>
      </c>
      <c r="U5">
        <v>0</v>
      </c>
      <c r="V5">
        <v>195</v>
      </c>
      <c r="W5">
        <v>0</v>
      </c>
      <c r="X5">
        <v>6181</v>
      </c>
      <c r="Y5">
        <v>2422</v>
      </c>
      <c r="Z5">
        <v>14211</v>
      </c>
      <c r="AA5" s="1">
        <v>0.359</v>
      </c>
      <c r="AB5">
        <v>284</v>
      </c>
      <c r="AC5" s="3">
        <v>0.138888888888889</v>
      </c>
      <c r="AD5">
        <v>1</v>
      </c>
      <c r="AE5">
        <v>1793</v>
      </c>
      <c r="AF5">
        <v>6</v>
      </c>
      <c r="AG5">
        <v>350</v>
      </c>
      <c r="AH5">
        <v>1</v>
      </c>
      <c r="AI5">
        <v>1</v>
      </c>
    </row>
    <row r="6" spans="1:35">
      <c r="A6">
        <v>260516</v>
      </c>
      <c r="B6">
        <v>3</v>
      </c>
      <c r="C6" t="s">
        <v>83</v>
      </c>
      <c r="D6" t="s">
        <v>77</v>
      </c>
      <c r="E6">
        <v>26</v>
      </c>
      <c r="F6" t="s">
        <v>24</v>
      </c>
      <c r="G6">
        <f>VLOOKUP(F6,选手工资!$A:$T,11,FALSE)</f>
        <v>6.5</v>
      </c>
      <c r="H6" t="s">
        <v>123</v>
      </c>
      <c r="I6">
        <v>5</v>
      </c>
      <c r="J6">
        <v>12</v>
      </c>
      <c r="K6">
        <v>1</v>
      </c>
      <c r="L6">
        <v>3</v>
      </c>
      <c r="M6">
        <v>10</v>
      </c>
      <c r="N6" s="1">
        <v>0.423</v>
      </c>
      <c r="O6" s="1">
        <v>0.112</v>
      </c>
      <c r="P6">
        <v>4833</v>
      </c>
      <c r="Q6">
        <v>22</v>
      </c>
      <c r="R6">
        <v>1</v>
      </c>
      <c r="S6">
        <v>251</v>
      </c>
      <c r="T6">
        <v>408</v>
      </c>
      <c r="U6">
        <v>2</v>
      </c>
      <c r="V6">
        <v>0</v>
      </c>
      <c r="W6">
        <v>0</v>
      </c>
      <c r="X6">
        <v>7386</v>
      </c>
      <c r="Y6">
        <v>42</v>
      </c>
      <c r="Z6">
        <v>14175</v>
      </c>
      <c r="AA6" s="1">
        <v>0.281</v>
      </c>
      <c r="AB6">
        <v>145</v>
      </c>
      <c r="AC6" s="3">
        <v>0.0618055555555556</v>
      </c>
      <c r="AD6">
        <v>2</v>
      </c>
      <c r="AE6">
        <v>1250</v>
      </c>
      <c r="AF6">
        <v>6</v>
      </c>
      <c r="AG6">
        <v>550</v>
      </c>
      <c r="AH6">
        <v>0</v>
      </c>
      <c r="AI6">
        <v>6</v>
      </c>
    </row>
    <row r="7" spans="1:35">
      <c r="A7">
        <v>260516</v>
      </c>
      <c r="B7">
        <v>3</v>
      </c>
      <c r="C7" t="s">
        <v>76</v>
      </c>
      <c r="D7" t="s">
        <v>84</v>
      </c>
      <c r="E7">
        <v>16</v>
      </c>
      <c r="F7" t="s">
        <v>17</v>
      </c>
      <c r="G7">
        <f>VLOOKUP(F7,选手工资!$A:$T,11,FALSE)</f>
        <v>7.5</v>
      </c>
      <c r="H7" t="s">
        <v>144</v>
      </c>
      <c r="I7">
        <v>2</v>
      </c>
      <c r="J7">
        <v>12</v>
      </c>
      <c r="K7">
        <v>0</v>
      </c>
      <c r="L7">
        <v>7</v>
      </c>
      <c r="M7">
        <v>3</v>
      </c>
      <c r="N7" s="1">
        <v>0.188</v>
      </c>
      <c r="O7" s="1">
        <v>0.21</v>
      </c>
      <c r="P7">
        <v>7462</v>
      </c>
      <c r="Q7">
        <v>116</v>
      </c>
      <c r="R7">
        <v>7</v>
      </c>
      <c r="S7">
        <v>347</v>
      </c>
      <c r="T7">
        <v>407</v>
      </c>
      <c r="U7">
        <v>3</v>
      </c>
      <c r="V7">
        <v>0</v>
      </c>
      <c r="W7">
        <v>0</v>
      </c>
      <c r="X7">
        <v>10339</v>
      </c>
      <c r="Y7">
        <v>0</v>
      </c>
      <c r="Z7">
        <v>13798</v>
      </c>
      <c r="AA7" s="1">
        <v>0.233</v>
      </c>
      <c r="AB7">
        <v>629</v>
      </c>
      <c r="AC7" s="3">
        <v>0.155555555555556</v>
      </c>
      <c r="AD7">
        <v>8</v>
      </c>
      <c r="AE7">
        <v>3811</v>
      </c>
      <c r="AF7">
        <v>7</v>
      </c>
      <c r="AG7">
        <v>50</v>
      </c>
      <c r="AH7">
        <v>0</v>
      </c>
      <c r="AI7">
        <v>0</v>
      </c>
    </row>
    <row r="8" spans="1:35">
      <c r="A8">
        <v>260516</v>
      </c>
      <c r="B8">
        <v>3</v>
      </c>
      <c r="C8" t="s">
        <v>76</v>
      </c>
      <c r="D8" t="s">
        <v>84</v>
      </c>
      <c r="E8">
        <v>16</v>
      </c>
      <c r="F8" t="s">
        <v>20</v>
      </c>
      <c r="G8">
        <f>VLOOKUP(F8,选手工资!$A:$T,11,FALSE)</f>
        <v>6</v>
      </c>
      <c r="H8" t="s">
        <v>177</v>
      </c>
      <c r="I8">
        <v>3</v>
      </c>
      <c r="J8">
        <v>13</v>
      </c>
      <c r="K8">
        <v>0</v>
      </c>
      <c r="L8">
        <v>5</v>
      </c>
      <c r="M8">
        <v>3</v>
      </c>
      <c r="N8" s="1">
        <v>0.188</v>
      </c>
      <c r="O8" s="1">
        <v>0.136</v>
      </c>
      <c r="P8">
        <v>8402</v>
      </c>
      <c r="Q8">
        <v>134</v>
      </c>
      <c r="R8">
        <v>24</v>
      </c>
      <c r="S8">
        <v>392</v>
      </c>
      <c r="T8">
        <v>449</v>
      </c>
      <c r="U8">
        <v>1</v>
      </c>
      <c r="V8">
        <v>0</v>
      </c>
      <c r="W8">
        <v>0</v>
      </c>
      <c r="X8">
        <v>6697</v>
      </c>
      <c r="Y8">
        <v>0</v>
      </c>
      <c r="Z8">
        <v>18644</v>
      </c>
      <c r="AA8" s="1">
        <v>0.301</v>
      </c>
      <c r="AB8">
        <v>680</v>
      </c>
      <c r="AC8" s="3">
        <v>0.109027777777778</v>
      </c>
      <c r="AD8">
        <v>13</v>
      </c>
      <c r="AE8">
        <v>3771</v>
      </c>
      <c r="AF8">
        <v>6</v>
      </c>
      <c r="AG8">
        <v>0</v>
      </c>
      <c r="AH8">
        <v>3</v>
      </c>
      <c r="AI8">
        <v>1</v>
      </c>
    </row>
    <row r="9" spans="1:35">
      <c r="A9">
        <v>260516</v>
      </c>
      <c r="B9">
        <v>3</v>
      </c>
      <c r="C9" t="s">
        <v>76</v>
      </c>
      <c r="D9" t="s">
        <v>84</v>
      </c>
      <c r="E9">
        <v>16</v>
      </c>
      <c r="F9" t="s">
        <v>14</v>
      </c>
      <c r="G9">
        <f>VLOOKUP(F9,选手工资!$A:$T,11,FALSE)</f>
        <v>9.5</v>
      </c>
      <c r="H9" t="s">
        <v>118</v>
      </c>
      <c r="I9">
        <v>1</v>
      </c>
      <c r="J9">
        <v>13</v>
      </c>
      <c r="K9">
        <v>6</v>
      </c>
      <c r="L9">
        <v>6</v>
      </c>
      <c r="M9">
        <v>7</v>
      </c>
      <c r="N9" s="1">
        <v>0.813</v>
      </c>
      <c r="O9" s="1">
        <v>0.209</v>
      </c>
      <c r="P9">
        <v>8787</v>
      </c>
      <c r="Q9">
        <v>97</v>
      </c>
      <c r="R9">
        <v>7</v>
      </c>
      <c r="S9">
        <v>406</v>
      </c>
      <c r="T9">
        <v>468</v>
      </c>
      <c r="U9">
        <v>1</v>
      </c>
      <c r="V9">
        <v>125</v>
      </c>
      <c r="W9">
        <v>0</v>
      </c>
      <c r="X9">
        <v>10274</v>
      </c>
      <c r="Y9">
        <v>523</v>
      </c>
      <c r="Z9">
        <v>42220</v>
      </c>
      <c r="AA9" s="1">
        <v>0.357</v>
      </c>
      <c r="AB9">
        <v>454</v>
      </c>
      <c r="AC9" s="3">
        <v>0.118055555555556</v>
      </c>
      <c r="AD9">
        <v>12</v>
      </c>
      <c r="AE9">
        <v>3315</v>
      </c>
      <c r="AF9">
        <v>7</v>
      </c>
      <c r="AG9">
        <v>0</v>
      </c>
      <c r="AH9">
        <v>0</v>
      </c>
      <c r="AI9">
        <v>0</v>
      </c>
    </row>
    <row r="10" spans="1:35">
      <c r="A10">
        <v>260516</v>
      </c>
      <c r="B10">
        <v>3</v>
      </c>
      <c r="C10" t="s">
        <v>76</v>
      </c>
      <c r="D10" t="s">
        <v>84</v>
      </c>
      <c r="E10">
        <v>16</v>
      </c>
      <c r="F10" t="s">
        <v>25</v>
      </c>
      <c r="G10">
        <f>VLOOKUP(F10,选手工资!$A:$T,11,FALSE)</f>
        <v>5.5</v>
      </c>
      <c r="H10" t="s">
        <v>133</v>
      </c>
      <c r="I10">
        <v>4</v>
      </c>
      <c r="J10">
        <v>11</v>
      </c>
      <c r="K10">
        <v>6</v>
      </c>
      <c r="L10">
        <v>8</v>
      </c>
      <c r="M10">
        <v>7</v>
      </c>
      <c r="N10" s="1">
        <v>0.813</v>
      </c>
      <c r="O10" s="1">
        <v>0.337</v>
      </c>
      <c r="P10">
        <v>5544</v>
      </c>
      <c r="Q10">
        <v>39</v>
      </c>
      <c r="R10">
        <v>1</v>
      </c>
      <c r="S10">
        <v>291</v>
      </c>
      <c r="T10">
        <v>337</v>
      </c>
      <c r="U10">
        <v>0</v>
      </c>
      <c r="V10">
        <v>0</v>
      </c>
      <c r="W10">
        <v>0</v>
      </c>
      <c r="X10">
        <v>16614</v>
      </c>
      <c r="Y10">
        <v>471</v>
      </c>
      <c r="Z10">
        <v>13502</v>
      </c>
      <c r="AA10" s="1">
        <v>0.235</v>
      </c>
      <c r="AB10">
        <v>766</v>
      </c>
      <c r="AC10" s="3">
        <v>0.15625</v>
      </c>
      <c r="AD10">
        <v>14</v>
      </c>
      <c r="AE10">
        <v>3231</v>
      </c>
      <c r="AF10">
        <v>7</v>
      </c>
      <c r="AG10">
        <v>450</v>
      </c>
      <c r="AH10">
        <v>2</v>
      </c>
      <c r="AI10">
        <v>5</v>
      </c>
    </row>
    <row r="11" spans="1:35">
      <c r="A11">
        <v>260516</v>
      </c>
      <c r="B11">
        <v>3</v>
      </c>
      <c r="C11" t="s">
        <v>76</v>
      </c>
      <c r="D11" t="s">
        <v>84</v>
      </c>
      <c r="E11">
        <v>16</v>
      </c>
      <c r="F11" t="s">
        <v>31</v>
      </c>
      <c r="G11">
        <f>VLOOKUP(F11,选手工资!$A:$T,11,FALSE)</f>
        <v>5</v>
      </c>
      <c r="H11" t="s">
        <v>131</v>
      </c>
      <c r="I11">
        <v>5</v>
      </c>
      <c r="J11">
        <v>11</v>
      </c>
      <c r="K11">
        <v>4</v>
      </c>
      <c r="L11">
        <v>0</v>
      </c>
      <c r="M11">
        <v>7</v>
      </c>
      <c r="N11" s="1">
        <v>0.688</v>
      </c>
      <c r="O11" s="1">
        <v>0.108</v>
      </c>
      <c r="P11">
        <v>4351</v>
      </c>
      <c r="Q11">
        <v>22</v>
      </c>
      <c r="R11">
        <v>3</v>
      </c>
      <c r="S11">
        <v>223</v>
      </c>
      <c r="T11">
        <v>340</v>
      </c>
      <c r="U11">
        <v>0</v>
      </c>
      <c r="V11">
        <v>3264</v>
      </c>
      <c r="W11">
        <v>0</v>
      </c>
      <c r="X11">
        <v>5342</v>
      </c>
      <c r="Y11">
        <v>0</v>
      </c>
      <c r="Z11">
        <v>6571</v>
      </c>
      <c r="AA11" s="1">
        <v>0.239</v>
      </c>
      <c r="AB11">
        <v>0</v>
      </c>
      <c r="AC11" s="3">
        <v>0</v>
      </c>
      <c r="AD11">
        <v>4</v>
      </c>
      <c r="AE11">
        <v>1922</v>
      </c>
      <c r="AF11">
        <v>6</v>
      </c>
      <c r="AG11">
        <v>300</v>
      </c>
      <c r="AH11">
        <v>1</v>
      </c>
      <c r="AI11">
        <v>2</v>
      </c>
    </row>
    <row r="14" spans="1:35">
      <c r="A14" t="s">
        <v>90</v>
      </c>
      <c r="B14" s="4">
        <v>8813389157</v>
      </c>
      <c r="C14" s="4"/>
    </row>
    <row r="15" spans="1:35">
      <c r="A15" t="s">
        <v>91</v>
      </c>
      <c r="B15" s="7" t="s">
        <v>224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K2" activePane="bottomRight" state="frozen"/>
      <selection/>
      <selection pane="topRight"/>
      <selection pane="bottomLeft"/>
      <selection pane="bottomRight" activeCell="H9" sqref="H9"/>
    </sheetView>
  </sheetViews>
  <sheetFormatPr defaultColWidth="9.25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260516</v>
      </c>
      <c r="B2">
        <v>4</v>
      </c>
      <c r="C2" t="s">
        <v>83</v>
      </c>
      <c r="D2" t="s">
        <v>84</v>
      </c>
      <c r="E2">
        <v>21</v>
      </c>
      <c r="F2" t="s">
        <v>19</v>
      </c>
      <c r="G2">
        <f>VLOOKUP(F2,选手工资!$A:$T,11,FALSE)</f>
        <v>7.5</v>
      </c>
      <c r="H2" t="s">
        <v>149</v>
      </c>
      <c r="I2">
        <v>2</v>
      </c>
      <c r="J2">
        <v>23</v>
      </c>
      <c r="K2">
        <v>3</v>
      </c>
      <c r="L2">
        <v>6</v>
      </c>
      <c r="M2">
        <v>7</v>
      </c>
      <c r="N2" s="1">
        <v>0.476</v>
      </c>
      <c r="O2" s="1">
        <v>0.229</v>
      </c>
      <c r="P2">
        <v>21127</v>
      </c>
      <c r="Q2">
        <v>339</v>
      </c>
      <c r="R2">
        <v>11</v>
      </c>
      <c r="S2">
        <v>498</v>
      </c>
      <c r="T2">
        <v>677</v>
      </c>
      <c r="U2">
        <v>4</v>
      </c>
      <c r="V2">
        <v>0</v>
      </c>
      <c r="W2">
        <v>0</v>
      </c>
      <c r="X2">
        <v>18307</v>
      </c>
      <c r="Y2">
        <v>918</v>
      </c>
      <c r="Z2">
        <v>62247</v>
      </c>
      <c r="AA2" s="1">
        <v>0.448</v>
      </c>
      <c r="AB2">
        <v>1026</v>
      </c>
      <c r="AC2" s="3">
        <v>0.193055555555556</v>
      </c>
      <c r="AD2">
        <v>5</v>
      </c>
      <c r="AE2">
        <v>4162</v>
      </c>
      <c r="AF2">
        <v>9</v>
      </c>
      <c r="AG2">
        <v>100</v>
      </c>
      <c r="AH2">
        <v>3</v>
      </c>
      <c r="AI2">
        <v>3</v>
      </c>
    </row>
    <row r="3" spans="1:35">
      <c r="A3">
        <v>260516</v>
      </c>
      <c r="B3">
        <v>4</v>
      </c>
      <c r="C3" t="s">
        <v>83</v>
      </c>
      <c r="D3" t="s">
        <v>84</v>
      </c>
      <c r="E3">
        <v>21</v>
      </c>
      <c r="F3" t="s">
        <v>36</v>
      </c>
      <c r="G3">
        <f>VLOOKUP(F3,选手工资!$A:$T,11,FALSE)</f>
        <v>3</v>
      </c>
      <c r="H3" t="s">
        <v>202</v>
      </c>
      <c r="I3">
        <v>3</v>
      </c>
      <c r="J3">
        <v>20</v>
      </c>
      <c r="K3">
        <v>2</v>
      </c>
      <c r="L3">
        <v>8</v>
      </c>
      <c r="M3">
        <v>6</v>
      </c>
      <c r="N3" s="1">
        <v>0.381</v>
      </c>
      <c r="O3" s="1">
        <v>0.19</v>
      </c>
      <c r="P3">
        <v>15488</v>
      </c>
      <c r="Q3">
        <v>224</v>
      </c>
      <c r="R3">
        <v>7</v>
      </c>
      <c r="S3">
        <v>380</v>
      </c>
      <c r="T3">
        <v>523</v>
      </c>
      <c r="U3">
        <v>0</v>
      </c>
      <c r="V3">
        <v>0</v>
      </c>
      <c r="W3">
        <v>1</v>
      </c>
      <c r="X3">
        <v>15230</v>
      </c>
      <c r="Y3">
        <v>1254</v>
      </c>
      <c r="Z3">
        <v>75831</v>
      </c>
      <c r="AA3" s="1">
        <v>0.559</v>
      </c>
      <c r="AB3">
        <v>2029</v>
      </c>
      <c r="AC3" s="3">
        <v>0.243055555555556</v>
      </c>
      <c r="AD3">
        <v>9</v>
      </c>
      <c r="AE3">
        <v>3448</v>
      </c>
      <c r="AF3">
        <v>6</v>
      </c>
      <c r="AG3">
        <v>0</v>
      </c>
      <c r="AH3">
        <v>1</v>
      </c>
      <c r="AI3">
        <v>2</v>
      </c>
    </row>
    <row r="4" spans="1:35">
      <c r="A4">
        <v>260516</v>
      </c>
      <c r="B4">
        <v>4</v>
      </c>
      <c r="C4" t="s">
        <v>83</v>
      </c>
      <c r="D4" t="s">
        <v>84</v>
      </c>
      <c r="E4">
        <v>21</v>
      </c>
      <c r="F4" t="s">
        <v>14</v>
      </c>
      <c r="G4">
        <f>VLOOKUP(F4,选手工资!$A:$T,11,FALSE)</f>
        <v>9.5</v>
      </c>
      <c r="H4" t="s">
        <v>139</v>
      </c>
      <c r="I4">
        <v>1</v>
      </c>
      <c r="J4">
        <v>24</v>
      </c>
      <c r="K4">
        <v>12</v>
      </c>
      <c r="L4">
        <v>7</v>
      </c>
      <c r="M4">
        <v>3</v>
      </c>
      <c r="N4" s="1">
        <v>0.714</v>
      </c>
      <c r="O4" s="1">
        <v>0.3</v>
      </c>
      <c r="P4">
        <v>26801</v>
      </c>
      <c r="Q4">
        <v>490</v>
      </c>
      <c r="R4">
        <v>8</v>
      </c>
      <c r="S4">
        <v>667</v>
      </c>
      <c r="T4">
        <v>721</v>
      </c>
      <c r="U4">
        <v>2</v>
      </c>
      <c r="V4">
        <v>0</v>
      </c>
      <c r="W4">
        <v>0</v>
      </c>
      <c r="X4">
        <v>24046</v>
      </c>
      <c r="Y4">
        <v>1671</v>
      </c>
      <c r="Z4">
        <v>74454</v>
      </c>
      <c r="AA4" s="1">
        <v>0.545</v>
      </c>
      <c r="AB4">
        <v>2650</v>
      </c>
      <c r="AC4" s="3">
        <v>0.2375</v>
      </c>
      <c r="AD4">
        <v>6</v>
      </c>
      <c r="AE4">
        <v>4788</v>
      </c>
      <c r="AF4">
        <v>6</v>
      </c>
      <c r="AG4">
        <v>0</v>
      </c>
      <c r="AH4">
        <v>1</v>
      </c>
      <c r="AI4">
        <v>0</v>
      </c>
    </row>
    <row r="5" spans="1:35">
      <c r="A5">
        <v>260516</v>
      </c>
      <c r="B5">
        <v>4</v>
      </c>
      <c r="C5" t="s">
        <v>83</v>
      </c>
      <c r="D5" t="s">
        <v>84</v>
      </c>
      <c r="E5">
        <v>21</v>
      </c>
      <c r="F5" t="s">
        <v>20</v>
      </c>
      <c r="G5">
        <f>VLOOKUP(F5,选手工资!$A:$T,11,FALSE)</f>
        <v>6</v>
      </c>
      <c r="H5" t="s">
        <v>140</v>
      </c>
      <c r="I5">
        <v>5</v>
      </c>
      <c r="J5">
        <v>19</v>
      </c>
      <c r="K5">
        <v>2</v>
      </c>
      <c r="L5">
        <v>6</v>
      </c>
      <c r="M5">
        <v>10</v>
      </c>
      <c r="N5" s="1">
        <v>0.571</v>
      </c>
      <c r="O5" s="1">
        <v>0.181</v>
      </c>
      <c r="P5">
        <v>12457</v>
      </c>
      <c r="Q5">
        <v>99</v>
      </c>
      <c r="R5">
        <v>1</v>
      </c>
      <c r="S5">
        <v>300</v>
      </c>
      <c r="T5">
        <v>434</v>
      </c>
      <c r="U5">
        <v>2</v>
      </c>
      <c r="V5">
        <v>0</v>
      </c>
      <c r="W5">
        <v>0</v>
      </c>
      <c r="X5">
        <v>14483</v>
      </c>
      <c r="Y5">
        <v>0</v>
      </c>
      <c r="Z5">
        <v>35996</v>
      </c>
      <c r="AA5" s="1">
        <v>0.421</v>
      </c>
      <c r="AB5">
        <v>1351</v>
      </c>
      <c r="AC5" s="3">
        <v>0.176388888888889</v>
      </c>
      <c r="AD5">
        <v>1</v>
      </c>
      <c r="AE5">
        <v>1819</v>
      </c>
      <c r="AF5">
        <v>6</v>
      </c>
      <c r="AG5">
        <v>1000</v>
      </c>
      <c r="AH5">
        <v>2</v>
      </c>
      <c r="AI5">
        <v>3</v>
      </c>
    </row>
    <row r="6" spans="1:35">
      <c r="A6">
        <v>260516</v>
      </c>
      <c r="B6">
        <v>4</v>
      </c>
      <c r="C6" t="s">
        <v>83</v>
      </c>
      <c r="D6" t="s">
        <v>84</v>
      </c>
      <c r="E6">
        <v>21</v>
      </c>
      <c r="F6" t="s">
        <v>41</v>
      </c>
      <c r="G6">
        <f>VLOOKUP(F6,选手工资!$A:$T,11,FALSE)</f>
        <v>2</v>
      </c>
      <c r="H6" t="s">
        <v>95</v>
      </c>
      <c r="I6">
        <v>4</v>
      </c>
      <c r="J6">
        <v>18</v>
      </c>
      <c r="K6">
        <v>2</v>
      </c>
      <c r="L6">
        <v>6</v>
      </c>
      <c r="M6">
        <v>11</v>
      </c>
      <c r="N6" s="1">
        <v>0.619</v>
      </c>
      <c r="O6" s="1">
        <v>0.1</v>
      </c>
      <c r="P6">
        <v>10435</v>
      </c>
      <c r="Q6">
        <v>63</v>
      </c>
      <c r="R6">
        <v>0</v>
      </c>
      <c r="S6">
        <v>298</v>
      </c>
      <c r="T6">
        <v>401</v>
      </c>
      <c r="U6">
        <v>2</v>
      </c>
      <c r="V6">
        <v>0</v>
      </c>
      <c r="W6">
        <v>0</v>
      </c>
      <c r="X6">
        <v>7969</v>
      </c>
      <c r="Y6">
        <v>379</v>
      </c>
      <c r="Z6">
        <v>28406</v>
      </c>
      <c r="AA6" s="1">
        <v>0.469</v>
      </c>
      <c r="AB6">
        <v>936</v>
      </c>
      <c r="AC6" s="3">
        <v>0.190277777777778</v>
      </c>
      <c r="AD6">
        <v>2</v>
      </c>
      <c r="AE6">
        <v>1604</v>
      </c>
      <c r="AF6">
        <v>5</v>
      </c>
      <c r="AG6">
        <v>900</v>
      </c>
      <c r="AH6">
        <v>0</v>
      </c>
      <c r="AI6">
        <v>3</v>
      </c>
    </row>
    <row r="7" spans="1:35">
      <c r="A7">
        <v>260516</v>
      </c>
      <c r="B7">
        <v>4</v>
      </c>
      <c r="C7" t="s">
        <v>76</v>
      </c>
      <c r="D7" t="s">
        <v>77</v>
      </c>
      <c r="E7">
        <v>33</v>
      </c>
      <c r="F7" t="s">
        <v>13</v>
      </c>
      <c r="G7">
        <f>VLOOKUP(F7,选手工资!$A:$T,11,FALSE)</f>
        <v>10</v>
      </c>
      <c r="H7" t="s">
        <v>85</v>
      </c>
      <c r="I7">
        <v>2</v>
      </c>
      <c r="J7">
        <v>25</v>
      </c>
      <c r="K7">
        <v>7</v>
      </c>
      <c r="L7">
        <v>4</v>
      </c>
      <c r="M7">
        <v>19</v>
      </c>
      <c r="N7" s="1">
        <v>0.788</v>
      </c>
      <c r="O7" s="1">
        <v>0.217</v>
      </c>
      <c r="P7">
        <v>24087</v>
      </c>
      <c r="Q7">
        <v>394</v>
      </c>
      <c r="R7">
        <v>14</v>
      </c>
      <c r="S7">
        <v>625</v>
      </c>
      <c r="T7">
        <v>807</v>
      </c>
      <c r="U7">
        <v>5</v>
      </c>
      <c r="V7">
        <v>0</v>
      </c>
      <c r="W7">
        <v>0</v>
      </c>
      <c r="X7">
        <v>29842</v>
      </c>
      <c r="Y7">
        <v>3584</v>
      </c>
      <c r="Z7">
        <v>56869</v>
      </c>
      <c r="AA7" s="1">
        <v>0.541</v>
      </c>
      <c r="AB7">
        <v>1337</v>
      </c>
      <c r="AC7" s="3">
        <v>0.113888888888889</v>
      </c>
      <c r="AD7">
        <v>7</v>
      </c>
      <c r="AE7">
        <v>3995</v>
      </c>
      <c r="AF7">
        <v>8</v>
      </c>
      <c r="AG7">
        <v>100</v>
      </c>
      <c r="AH7">
        <v>0</v>
      </c>
      <c r="AI7">
        <v>1</v>
      </c>
    </row>
    <row r="8" spans="1:35">
      <c r="A8">
        <v>260516</v>
      </c>
      <c r="B8">
        <v>4</v>
      </c>
      <c r="C8" t="s">
        <v>76</v>
      </c>
      <c r="D8" t="s">
        <v>77</v>
      </c>
      <c r="E8">
        <v>33</v>
      </c>
      <c r="F8" t="s">
        <v>17</v>
      </c>
      <c r="G8">
        <f>VLOOKUP(F8,选手工资!$A:$T,11,FALSE)</f>
        <v>7.5</v>
      </c>
      <c r="H8" t="s">
        <v>218</v>
      </c>
      <c r="I8">
        <v>1</v>
      </c>
      <c r="J8">
        <v>28</v>
      </c>
      <c r="K8">
        <v>9</v>
      </c>
      <c r="L8">
        <v>2</v>
      </c>
      <c r="M8">
        <v>11</v>
      </c>
      <c r="N8" s="1">
        <v>0.606</v>
      </c>
      <c r="O8" s="1">
        <v>0.291</v>
      </c>
      <c r="P8">
        <v>39702</v>
      </c>
      <c r="Q8">
        <v>659</v>
      </c>
      <c r="R8">
        <v>23</v>
      </c>
      <c r="S8">
        <v>900</v>
      </c>
      <c r="T8">
        <v>1098</v>
      </c>
      <c r="U8">
        <v>0</v>
      </c>
      <c r="V8">
        <v>0</v>
      </c>
      <c r="W8">
        <v>1</v>
      </c>
      <c r="X8">
        <v>40023</v>
      </c>
      <c r="Y8">
        <v>15158</v>
      </c>
      <c r="Z8">
        <v>53130</v>
      </c>
      <c r="AA8" s="1">
        <v>0.953</v>
      </c>
      <c r="AB8">
        <v>276</v>
      </c>
      <c r="AC8" s="3">
        <v>0.04375</v>
      </c>
      <c r="AD8">
        <v>10</v>
      </c>
      <c r="AE8">
        <v>4870</v>
      </c>
      <c r="AF8">
        <v>7</v>
      </c>
      <c r="AG8">
        <v>0</v>
      </c>
      <c r="AH8">
        <v>3</v>
      </c>
      <c r="AI8">
        <v>1</v>
      </c>
    </row>
    <row r="9" spans="1:35">
      <c r="A9">
        <v>260516</v>
      </c>
      <c r="B9">
        <v>4</v>
      </c>
      <c r="C9" t="s">
        <v>76</v>
      </c>
      <c r="D9" t="s">
        <v>77</v>
      </c>
      <c r="E9">
        <v>33</v>
      </c>
      <c r="F9" t="s">
        <v>31</v>
      </c>
      <c r="G9">
        <f>VLOOKUP(F9,选手工资!$A:$T,11,FALSE)</f>
        <v>5</v>
      </c>
      <c r="H9" t="s">
        <v>177</v>
      </c>
      <c r="I9">
        <v>3</v>
      </c>
      <c r="J9">
        <v>26</v>
      </c>
      <c r="K9">
        <v>6</v>
      </c>
      <c r="L9">
        <v>5</v>
      </c>
      <c r="M9">
        <v>18</v>
      </c>
      <c r="N9" s="1">
        <v>0.727</v>
      </c>
      <c r="O9" s="1">
        <v>0.128</v>
      </c>
      <c r="P9">
        <v>25228</v>
      </c>
      <c r="Q9">
        <v>364</v>
      </c>
      <c r="R9">
        <v>13</v>
      </c>
      <c r="S9">
        <v>600</v>
      </c>
      <c r="T9">
        <v>887</v>
      </c>
      <c r="U9">
        <v>4</v>
      </c>
      <c r="V9">
        <v>125</v>
      </c>
      <c r="W9">
        <v>0</v>
      </c>
      <c r="X9">
        <v>17658</v>
      </c>
      <c r="Y9">
        <v>5937</v>
      </c>
      <c r="Z9">
        <v>51361</v>
      </c>
      <c r="AA9" s="1">
        <v>0.574</v>
      </c>
      <c r="AB9">
        <v>1030</v>
      </c>
      <c r="AC9" s="3">
        <v>0.142361111111111</v>
      </c>
      <c r="AD9">
        <v>8</v>
      </c>
      <c r="AE9">
        <v>4472</v>
      </c>
      <c r="AF9">
        <v>6</v>
      </c>
      <c r="AG9">
        <v>80</v>
      </c>
      <c r="AH9">
        <v>0</v>
      </c>
      <c r="AI9">
        <v>1</v>
      </c>
    </row>
    <row r="10" spans="1:35">
      <c r="A10">
        <v>260516</v>
      </c>
      <c r="B10">
        <v>4</v>
      </c>
      <c r="C10" t="s">
        <v>76</v>
      </c>
      <c r="D10" t="s">
        <v>77</v>
      </c>
      <c r="E10">
        <v>33</v>
      </c>
      <c r="F10" t="s">
        <v>42</v>
      </c>
      <c r="G10">
        <f>VLOOKUP(F10,选手工资!$A:$T,11,FALSE)</f>
        <v>1.5</v>
      </c>
      <c r="H10" t="s">
        <v>167</v>
      </c>
      <c r="I10">
        <v>5</v>
      </c>
      <c r="J10">
        <v>22</v>
      </c>
      <c r="K10">
        <v>3</v>
      </c>
      <c r="L10">
        <v>6</v>
      </c>
      <c r="M10">
        <v>21</v>
      </c>
      <c r="N10" s="1">
        <v>0.727</v>
      </c>
      <c r="O10" s="1">
        <v>0.103</v>
      </c>
      <c r="P10">
        <v>12521</v>
      </c>
      <c r="Q10">
        <v>31</v>
      </c>
      <c r="R10">
        <v>2</v>
      </c>
      <c r="S10">
        <v>304</v>
      </c>
      <c r="T10">
        <v>628</v>
      </c>
      <c r="U10">
        <v>1</v>
      </c>
      <c r="V10">
        <v>2631</v>
      </c>
      <c r="W10">
        <v>0</v>
      </c>
      <c r="X10">
        <v>14235</v>
      </c>
      <c r="Y10">
        <v>404</v>
      </c>
      <c r="Z10">
        <v>21988</v>
      </c>
      <c r="AA10" s="1">
        <v>0.17</v>
      </c>
      <c r="AB10">
        <v>618</v>
      </c>
      <c r="AC10" s="3">
        <v>0.172916666666667</v>
      </c>
      <c r="AD10">
        <v>4</v>
      </c>
      <c r="AE10">
        <v>2183</v>
      </c>
      <c r="AF10">
        <v>6</v>
      </c>
      <c r="AG10">
        <v>400</v>
      </c>
      <c r="AH10">
        <v>1</v>
      </c>
      <c r="AI10">
        <v>2</v>
      </c>
    </row>
    <row r="11" spans="1:35">
      <c r="A11">
        <v>260516</v>
      </c>
      <c r="B11">
        <v>4</v>
      </c>
      <c r="C11" t="s">
        <v>76</v>
      </c>
      <c r="D11" t="s">
        <v>77</v>
      </c>
      <c r="E11">
        <v>33</v>
      </c>
      <c r="F11" t="s">
        <v>28</v>
      </c>
      <c r="G11">
        <f>VLOOKUP(F11,选手工资!$A:$T,11,FALSE)</f>
        <v>5</v>
      </c>
      <c r="H11" t="s">
        <v>144</v>
      </c>
      <c r="I11">
        <v>4</v>
      </c>
      <c r="J11">
        <v>23</v>
      </c>
      <c r="K11">
        <v>8</v>
      </c>
      <c r="L11">
        <v>5</v>
      </c>
      <c r="M11">
        <v>22</v>
      </c>
      <c r="N11" s="1">
        <v>0.909</v>
      </c>
      <c r="O11" s="1">
        <v>0.261</v>
      </c>
      <c r="P11">
        <v>19153</v>
      </c>
      <c r="Q11">
        <v>177</v>
      </c>
      <c r="R11">
        <v>3</v>
      </c>
      <c r="S11">
        <v>454</v>
      </c>
      <c r="T11">
        <v>639</v>
      </c>
      <c r="U11">
        <v>3</v>
      </c>
      <c r="V11">
        <v>0</v>
      </c>
      <c r="W11">
        <v>0</v>
      </c>
      <c r="X11">
        <v>35883</v>
      </c>
      <c r="Y11">
        <v>1439</v>
      </c>
      <c r="Z11">
        <v>14828</v>
      </c>
      <c r="AA11" s="1">
        <v>0.242</v>
      </c>
      <c r="AB11">
        <v>471</v>
      </c>
      <c r="AC11" s="3">
        <v>0.106944444444444</v>
      </c>
      <c r="AD11">
        <v>3</v>
      </c>
      <c r="AE11">
        <v>2177</v>
      </c>
      <c r="AF11">
        <v>6</v>
      </c>
      <c r="AG11">
        <v>600</v>
      </c>
      <c r="AH11">
        <v>6</v>
      </c>
      <c r="AI11">
        <v>10</v>
      </c>
    </row>
    <row r="14" spans="1:35">
      <c r="A14" t="s">
        <v>90</v>
      </c>
      <c r="B14" s="4">
        <v>8813389157</v>
      </c>
      <c r="C14" s="4"/>
    </row>
    <row r="15" spans="1:35">
      <c r="A15" t="s">
        <v>91</v>
      </c>
      <c r="B15" s="7" t="s">
        <v>224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6" topLeftCell="N7" activePane="bottomRight" state="frozen"/>
      <selection/>
      <selection pane="topRight"/>
      <selection pane="bottomLeft"/>
      <selection pane="bottomRight" activeCell="A14" sqref="A14:C15"/>
    </sheetView>
  </sheetViews>
  <sheetFormatPr defaultColWidth="9" defaultRowHeight="16.8"/>
  <cols>
    <col min="28" max="28" width="13.375" customWidth="1"/>
  </cols>
  <sheetData>
    <row r="1" spans="1:35">
      <c r="A1" s="6" t="s">
        <v>44</v>
      </c>
      <c r="B1" s="6" t="s">
        <v>45</v>
      </c>
      <c r="C1" t="s">
        <v>46</v>
      </c>
      <c r="D1" s="6" t="s">
        <v>47</v>
      </c>
      <c r="E1" s="6" t="s">
        <v>48</v>
      </c>
      <c r="F1" t="s">
        <v>0</v>
      </c>
      <c r="G1" t="s">
        <v>225</v>
      </c>
      <c r="H1" t="s">
        <v>50</v>
      </c>
      <c r="I1" t="s">
        <v>51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55</v>
      </c>
      <c r="P1" t="s">
        <v>56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260517</v>
      </c>
      <c r="B2">
        <v>1</v>
      </c>
      <c r="C2" t="s">
        <v>83</v>
      </c>
      <c r="D2" t="s">
        <v>77</v>
      </c>
      <c r="E2">
        <v>34</v>
      </c>
      <c r="F2" s="6" t="s">
        <v>31</v>
      </c>
      <c r="G2">
        <v>5</v>
      </c>
      <c r="H2" t="s">
        <v>130</v>
      </c>
      <c r="I2">
        <v>2</v>
      </c>
      <c r="J2">
        <v>18</v>
      </c>
      <c r="K2">
        <v>13433</v>
      </c>
      <c r="L2">
        <v>6</v>
      </c>
      <c r="M2">
        <v>1</v>
      </c>
      <c r="N2">
        <v>13</v>
      </c>
      <c r="O2" s="1">
        <v>0.559</v>
      </c>
      <c r="P2" s="1">
        <v>0.178</v>
      </c>
      <c r="Q2">
        <v>130</v>
      </c>
      <c r="R2">
        <v>13</v>
      </c>
      <c r="S2">
        <v>485</v>
      </c>
      <c r="T2">
        <v>653</v>
      </c>
      <c r="U2">
        <v>3</v>
      </c>
      <c r="V2">
        <v>0</v>
      </c>
      <c r="W2">
        <v>0</v>
      </c>
      <c r="X2">
        <v>13306</v>
      </c>
      <c r="Y2">
        <v>3120</v>
      </c>
      <c r="Z2">
        <v>17193</v>
      </c>
      <c r="AA2" s="1">
        <v>0.497</v>
      </c>
      <c r="AB2">
        <v>37</v>
      </c>
      <c r="AC2" s="3">
        <v>0.0173611111111111</v>
      </c>
      <c r="AD2">
        <v>9</v>
      </c>
      <c r="AE2">
        <v>2816</v>
      </c>
      <c r="AF2">
        <v>7</v>
      </c>
      <c r="AG2">
        <v>100</v>
      </c>
      <c r="AH2">
        <v>0</v>
      </c>
      <c r="AI2">
        <v>2</v>
      </c>
    </row>
    <row r="3" spans="1:35">
      <c r="A3">
        <v>260517</v>
      </c>
      <c r="B3">
        <v>1</v>
      </c>
      <c r="C3" t="s">
        <v>83</v>
      </c>
      <c r="D3" t="s">
        <v>77</v>
      </c>
      <c r="E3">
        <v>34</v>
      </c>
      <c r="F3" s="6" t="s">
        <v>13</v>
      </c>
      <c r="G3">
        <v>10.5</v>
      </c>
      <c r="H3" t="s">
        <v>104</v>
      </c>
      <c r="I3">
        <v>3</v>
      </c>
      <c r="J3">
        <v>16</v>
      </c>
      <c r="K3">
        <v>14842</v>
      </c>
      <c r="L3">
        <v>6</v>
      </c>
      <c r="M3">
        <v>3</v>
      </c>
      <c r="N3">
        <v>11</v>
      </c>
      <c r="O3" s="1">
        <v>0.5</v>
      </c>
      <c r="P3" s="1">
        <v>0.226</v>
      </c>
      <c r="Q3">
        <v>195</v>
      </c>
      <c r="R3">
        <v>9</v>
      </c>
      <c r="S3">
        <v>533</v>
      </c>
      <c r="T3">
        <v>532</v>
      </c>
      <c r="U3">
        <v>4</v>
      </c>
      <c r="V3">
        <v>0</v>
      </c>
      <c r="W3">
        <v>0</v>
      </c>
      <c r="X3">
        <v>16919</v>
      </c>
      <c r="Y3">
        <v>2495</v>
      </c>
      <c r="Z3">
        <v>33950</v>
      </c>
      <c r="AA3" s="1">
        <v>0.547</v>
      </c>
      <c r="AB3">
        <v>309</v>
      </c>
      <c r="AC3" s="3">
        <v>0.0729166666666667</v>
      </c>
      <c r="AD3">
        <v>5</v>
      </c>
      <c r="AE3">
        <v>4643</v>
      </c>
      <c r="AF3">
        <v>7</v>
      </c>
      <c r="AG3">
        <v>0</v>
      </c>
      <c r="AH3">
        <v>1</v>
      </c>
      <c r="AI3">
        <v>2</v>
      </c>
    </row>
    <row r="4" spans="1:35">
      <c r="A4">
        <v>260517</v>
      </c>
      <c r="B4">
        <v>1</v>
      </c>
      <c r="C4" t="s">
        <v>83</v>
      </c>
      <c r="D4" t="s">
        <v>77</v>
      </c>
      <c r="E4">
        <v>34</v>
      </c>
      <c r="F4" s="6" t="s">
        <v>34</v>
      </c>
      <c r="G4">
        <v>3</v>
      </c>
      <c r="H4" t="s">
        <v>167</v>
      </c>
      <c r="I4">
        <v>5</v>
      </c>
      <c r="J4">
        <v>14</v>
      </c>
      <c r="K4">
        <v>8308</v>
      </c>
      <c r="L4">
        <v>3</v>
      </c>
      <c r="M4">
        <v>11</v>
      </c>
      <c r="N4">
        <v>13</v>
      </c>
      <c r="O4" s="1">
        <v>0.471</v>
      </c>
      <c r="P4" s="1">
        <v>0.134</v>
      </c>
      <c r="Q4">
        <v>11</v>
      </c>
      <c r="R4">
        <v>0</v>
      </c>
      <c r="S4">
        <v>316</v>
      </c>
      <c r="T4">
        <v>383</v>
      </c>
      <c r="U4">
        <v>3</v>
      </c>
      <c r="V4">
        <v>3159</v>
      </c>
      <c r="W4">
        <v>1</v>
      </c>
      <c r="X4">
        <v>9991</v>
      </c>
      <c r="Y4">
        <v>226</v>
      </c>
      <c r="Z4">
        <v>22188</v>
      </c>
      <c r="AA4" s="1">
        <v>0.421</v>
      </c>
      <c r="AB4">
        <v>534</v>
      </c>
      <c r="AC4" s="3">
        <v>0.170833333333333</v>
      </c>
      <c r="AD4">
        <v>6</v>
      </c>
      <c r="AE4">
        <v>1962</v>
      </c>
      <c r="AF4">
        <v>5</v>
      </c>
      <c r="AG4">
        <v>350</v>
      </c>
      <c r="AH4">
        <v>3</v>
      </c>
      <c r="AI4">
        <v>5</v>
      </c>
    </row>
    <row r="5" spans="1:35">
      <c r="A5">
        <v>260517</v>
      </c>
      <c r="B5">
        <v>1</v>
      </c>
      <c r="C5" t="s">
        <v>83</v>
      </c>
      <c r="D5" t="s">
        <v>77</v>
      </c>
      <c r="E5">
        <v>34</v>
      </c>
      <c r="F5" s="6" t="s">
        <v>30</v>
      </c>
      <c r="G5">
        <v>5</v>
      </c>
      <c r="H5" t="s">
        <v>93</v>
      </c>
      <c r="I5">
        <v>1</v>
      </c>
      <c r="J5">
        <v>23</v>
      </c>
      <c r="K5">
        <v>24806</v>
      </c>
      <c r="L5">
        <v>14</v>
      </c>
      <c r="M5">
        <v>2</v>
      </c>
      <c r="N5">
        <v>3</v>
      </c>
      <c r="O5" s="1">
        <v>0.5</v>
      </c>
      <c r="P5" s="1">
        <v>0.266</v>
      </c>
      <c r="Q5">
        <v>376</v>
      </c>
      <c r="R5">
        <v>15</v>
      </c>
      <c r="S5">
        <v>869</v>
      </c>
      <c r="T5">
        <v>1052</v>
      </c>
      <c r="U5">
        <v>2</v>
      </c>
      <c r="V5">
        <v>5420</v>
      </c>
      <c r="W5">
        <v>0</v>
      </c>
      <c r="X5">
        <v>19923</v>
      </c>
      <c r="Y5">
        <v>12124</v>
      </c>
      <c r="Z5">
        <v>12108</v>
      </c>
      <c r="AA5" s="1">
        <v>0.461</v>
      </c>
      <c r="AB5">
        <v>198</v>
      </c>
      <c r="AC5" s="3">
        <v>0.0381944444444444</v>
      </c>
      <c r="AD5">
        <v>1</v>
      </c>
      <c r="AE5">
        <v>4951</v>
      </c>
      <c r="AF5">
        <v>8</v>
      </c>
      <c r="AG5">
        <v>0</v>
      </c>
      <c r="AH5">
        <v>2</v>
      </c>
      <c r="AI5">
        <v>0</v>
      </c>
    </row>
    <row r="6" spans="1:35">
      <c r="A6">
        <v>260517</v>
      </c>
      <c r="B6">
        <v>1</v>
      </c>
      <c r="C6" t="s">
        <v>83</v>
      </c>
      <c r="D6" t="s">
        <v>77</v>
      </c>
      <c r="E6">
        <v>34</v>
      </c>
      <c r="F6" s="6" t="s">
        <v>41</v>
      </c>
      <c r="G6">
        <v>1.5</v>
      </c>
      <c r="H6" t="s">
        <v>95</v>
      </c>
      <c r="I6">
        <v>4</v>
      </c>
      <c r="J6">
        <v>15</v>
      </c>
      <c r="K6">
        <v>12013</v>
      </c>
      <c r="L6">
        <v>5</v>
      </c>
      <c r="M6">
        <v>1</v>
      </c>
      <c r="N6">
        <v>18</v>
      </c>
      <c r="O6" s="1">
        <v>0.676</v>
      </c>
      <c r="P6" s="1">
        <v>0.196</v>
      </c>
      <c r="Q6">
        <v>50</v>
      </c>
      <c r="R6">
        <v>1</v>
      </c>
      <c r="S6">
        <v>417</v>
      </c>
      <c r="T6">
        <v>452</v>
      </c>
      <c r="U6">
        <v>0</v>
      </c>
      <c r="V6">
        <v>0</v>
      </c>
      <c r="W6">
        <v>0</v>
      </c>
      <c r="X6">
        <v>14646</v>
      </c>
      <c r="Y6">
        <v>72</v>
      </c>
      <c r="Z6">
        <v>6802</v>
      </c>
      <c r="AA6" s="1">
        <v>0.359</v>
      </c>
      <c r="AB6">
        <v>48</v>
      </c>
      <c r="AC6" s="3">
        <v>0.0173611111111111</v>
      </c>
      <c r="AD6">
        <v>2</v>
      </c>
      <c r="AE6">
        <v>2026</v>
      </c>
      <c r="AF6">
        <v>5</v>
      </c>
      <c r="AG6">
        <v>600</v>
      </c>
      <c r="AH6">
        <v>3</v>
      </c>
      <c r="AI6">
        <v>5</v>
      </c>
    </row>
    <row r="7" spans="1:35">
      <c r="A7">
        <v>260517</v>
      </c>
      <c r="B7">
        <v>1</v>
      </c>
      <c r="C7" t="s">
        <v>76</v>
      </c>
      <c r="D7" t="s">
        <v>84</v>
      </c>
      <c r="E7">
        <v>18</v>
      </c>
      <c r="F7" s="6" t="s">
        <v>17</v>
      </c>
      <c r="G7">
        <v>7</v>
      </c>
      <c r="H7" t="s">
        <v>102</v>
      </c>
      <c r="I7">
        <v>2</v>
      </c>
      <c r="J7">
        <v>17</v>
      </c>
      <c r="K7">
        <v>12905</v>
      </c>
      <c r="L7">
        <v>8</v>
      </c>
      <c r="M7">
        <v>5</v>
      </c>
      <c r="N7">
        <v>3</v>
      </c>
      <c r="O7" s="1">
        <v>0.611</v>
      </c>
      <c r="P7" s="1">
        <v>0.251</v>
      </c>
      <c r="Q7">
        <v>204</v>
      </c>
      <c r="R7">
        <v>18</v>
      </c>
      <c r="S7">
        <v>484</v>
      </c>
      <c r="T7">
        <v>571</v>
      </c>
      <c r="U7">
        <v>1</v>
      </c>
      <c r="V7">
        <v>0</v>
      </c>
      <c r="W7">
        <v>0</v>
      </c>
      <c r="X7">
        <v>11969</v>
      </c>
      <c r="Y7">
        <v>865</v>
      </c>
      <c r="Z7">
        <v>18701</v>
      </c>
      <c r="AA7" s="1">
        <v>0.376</v>
      </c>
      <c r="AB7">
        <v>1049</v>
      </c>
      <c r="AC7" s="3">
        <v>0.154861111111111</v>
      </c>
      <c r="AD7">
        <v>10</v>
      </c>
      <c r="AE7">
        <v>4964</v>
      </c>
      <c r="AF7">
        <v>9</v>
      </c>
      <c r="AG7">
        <v>100</v>
      </c>
      <c r="AH7">
        <v>0</v>
      </c>
      <c r="AI7">
        <v>2</v>
      </c>
    </row>
    <row r="8" spans="1:35">
      <c r="A8">
        <v>260517</v>
      </c>
      <c r="B8">
        <v>1</v>
      </c>
      <c r="C8" t="s">
        <v>76</v>
      </c>
      <c r="D8" t="s">
        <v>84</v>
      </c>
      <c r="E8">
        <v>18</v>
      </c>
      <c r="F8" s="6" t="s">
        <v>40</v>
      </c>
      <c r="G8">
        <v>3</v>
      </c>
      <c r="H8" t="s">
        <v>169</v>
      </c>
      <c r="I8">
        <v>5</v>
      </c>
      <c r="J8">
        <v>10</v>
      </c>
      <c r="K8">
        <v>4363</v>
      </c>
      <c r="L8">
        <v>0</v>
      </c>
      <c r="M8">
        <v>11</v>
      </c>
      <c r="N8">
        <v>5</v>
      </c>
      <c r="O8" s="1">
        <v>0.278</v>
      </c>
      <c r="P8" s="1">
        <v>0.165</v>
      </c>
      <c r="Q8">
        <v>16</v>
      </c>
      <c r="R8">
        <v>8</v>
      </c>
      <c r="S8">
        <v>165</v>
      </c>
      <c r="T8">
        <v>221</v>
      </c>
      <c r="U8">
        <v>0</v>
      </c>
      <c r="V8">
        <v>0</v>
      </c>
      <c r="W8">
        <v>0</v>
      </c>
      <c r="X8">
        <v>7897</v>
      </c>
      <c r="Y8">
        <v>0</v>
      </c>
      <c r="Z8">
        <v>19179</v>
      </c>
      <c r="AA8" s="1">
        <v>0.278</v>
      </c>
      <c r="AB8">
        <v>371</v>
      </c>
      <c r="AC8" s="3">
        <v>0.181944444444444</v>
      </c>
      <c r="AD8">
        <v>3</v>
      </c>
      <c r="AE8">
        <v>1546</v>
      </c>
      <c r="AF8">
        <v>5</v>
      </c>
      <c r="AG8">
        <v>450</v>
      </c>
      <c r="AH8">
        <v>1</v>
      </c>
      <c r="AI8">
        <v>2</v>
      </c>
    </row>
    <row r="9" spans="1:35">
      <c r="A9">
        <v>260517</v>
      </c>
      <c r="B9">
        <v>1</v>
      </c>
      <c r="C9" t="s">
        <v>76</v>
      </c>
      <c r="D9" t="s">
        <v>84</v>
      </c>
      <c r="E9">
        <v>18</v>
      </c>
      <c r="F9" s="6" t="s">
        <v>18</v>
      </c>
      <c r="G9">
        <v>7.5</v>
      </c>
      <c r="H9" t="s">
        <v>177</v>
      </c>
      <c r="I9">
        <v>3</v>
      </c>
      <c r="J9">
        <v>14</v>
      </c>
      <c r="K9">
        <v>10249</v>
      </c>
      <c r="L9">
        <v>6</v>
      </c>
      <c r="M9">
        <v>8</v>
      </c>
      <c r="N9">
        <v>8</v>
      </c>
      <c r="O9" s="1">
        <v>0.778</v>
      </c>
      <c r="P9" s="1">
        <v>0.227</v>
      </c>
      <c r="Q9">
        <v>141</v>
      </c>
      <c r="R9">
        <v>2</v>
      </c>
      <c r="S9">
        <v>385</v>
      </c>
      <c r="T9">
        <v>392</v>
      </c>
      <c r="U9">
        <v>0</v>
      </c>
      <c r="V9">
        <v>125</v>
      </c>
      <c r="W9">
        <v>0</v>
      </c>
      <c r="X9">
        <v>10839</v>
      </c>
      <c r="Y9">
        <v>0</v>
      </c>
      <c r="Z9">
        <v>32726</v>
      </c>
      <c r="AA9" s="1">
        <v>0.416</v>
      </c>
      <c r="AB9">
        <v>1120</v>
      </c>
      <c r="AC9" s="3">
        <v>0.197222222222222</v>
      </c>
      <c r="AD9">
        <v>7</v>
      </c>
      <c r="AE9">
        <v>4539</v>
      </c>
      <c r="AF9">
        <v>6</v>
      </c>
      <c r="AG9">
        <v>0</v>
      </c>
      <c r="AH9">
        <v>0</v>
      </c>
      <c r="AI9">
        <v>0</v>
      </c>
    </row>
    <row r="10" spans="1:35">
      <c r="A10">
        <v>260517</v>
      </c>
      <c r="B10">
        <v>1</v>
      </c>
      <c r="C10" t="s">
        <v>76</v>
      </c>
      <c r="D10" t="s">
        <v>84</v>
      </c>
      <c r="E10">
        <v>18</v>
      </c>
      <c r="F10" s="6" t="s">
        <v>38</v>
      </c>
      <c r="G10">
        <v>2</v>
      </c>
      <c r="H10" t="s">
        <v>88</v>
      </c>
      <c r="I10">
        <v>4</v>
      </c>
      <c r="J10">
        <v>11</v>
      </c>
      <c r="K10">
        <v>6308</v>
      </c>
      <c r="L10">
        <v>4</v>
      </c>
      <c r="M10">
        <v>5</v>
      </c>
      <c r="N10">
        <v>12</v>
      </c>
      <c r="O10" s="1">
        <v>0.889</v>
      </c>
      <c r="P10" s="1">
        <v>0.23</v>
      </c>
      <c r="Q10">
        <v>47</v>
      </c>
      <c r="R10">
        <v>0</v>
      </c>
      <c r="S10">
        <v>267</v>
      </c>
      <c r="T10">
        <v>279</v>
      </c>
      <c r="U10">
        <v>1</v>
      </c>
      <c r="V10">
        <v>701</v>
      </c>
      <c r="W10">
        <v>0</v>
      </c>
      <c r="X10">
        <v>10996</v>
      </c>
      <c r="Y10">
        <v>239</v>
      </c>
      <c r="Z10">
        <v>15416</v>
      </c>
      <c r="AA10" s="1">
        <v>0.325</v>
      </c>
      <c r="AB10">
        <v>337</v>
      </c>
      <c r="AC10" s="3">
        <v>0.104861111111111</v>
      </c>
      <c r="AD10">
        <v>4</v>
      </c>
      <c r="AE10">
        <v>2632</v>
      </c>
      <c r="AF10">
        <v>6</v>
      </c>
      <c r="AG10">
        <v>450</v>
      </c>
      <c r="AH10">
        <v>0</v>
      </c>
      <c r="AI10">
        <v>4</v>
      </c>
    </row>
    <row r="11" spans="1:35">
      <c r="A11">
        <v>260517</v>
      </c>
      <c r="B11">
        <v>1</v>
      </c>
      <c r="C11" t="s">
        <v>76</v>
      </c>
      <c r="D11" t="s">
        <v>84</v>
      </c>
      <c r="E11">
        <v>18</v>
      </c>
      <c r="F11" s="6" t="s">
        <v>20</v>
      </c>
      <c r="G11">
        <v>5.5</v>
      </c>
      <c r="H11" t="s">
        <v>118</v>
      </c>
      <c r="I11">
        <v>1</v>
      </c>
      <c r="J11">
        <v>17</v>
      </c>
      <c r="K11">
        <v>10736</v>
      </c>
      <c r="L11">
        <v>0</v>
      </c>
      <c r="M11">
        <v>5</v>
      </c>
      <c r="N11">
        <v>7</v>
      </c>
      <c r="O11" s="1">
        <v>0.389</v>
      </c>
      <c r="P11" s="1">
        <v>0.127</v>
      </c>
      <c r="Q11">
        <v>199</v>
      </c>
      <c r="R11">
        <v>13</v>
      </c>
      <c r="S11">
        <v>395</v>
      </c>
      <c r="T11">
        <v>550</v>
      </c>
      <c r="U11">
        <v>1</v>
      </c>
      <c r="V11">
        <v>0</v>
      </c>
      <c r="W11">
        <v>0</v>
      </c>
      <c r="X11">
        <v>6052</v>
      </c>
      <c r="Y11">
        <v>234</v>
      </c>
      <c r="Z11">
        <v>31784</v>
      </c>
      <c r="AA11" s="1">
        <v>0.379</v>
      </c>
      <c r="AB11">
        <v>936</v>
      </c>
      <c r="AC11" s="3">
        <v>0.113194444444444</v>
      </c>
      <c r="AD11">
        <v>8</v>
      </c>
      <c r="AE11">
        <v>3103</v>
      </c>
      <c r="AF11">
        <v>7</v>
      </c>
      <c r="AG11">
        <v>0</v>
      </c>
      <c r="AH11">
        <v>0</v>
      </c>
      <c r="AI11">
        <v>1</v>
      </c>
    </row>
    <row r="14" spans="1:35">
      <c r="A14" t="s">
        <v>90</v>
      </c>
      <c r="B14" s="4">
        <v>8814719546</v>
      </c>
      <c r="C14" s="4"/>
    </row>
    <row r="15" spans="1:35">
      <c r="A15" t="s">
        <v>91</v>
      </c>
      <c r="B15" s="5" t="s">
        <v>231</v>
      </c>
    </row>
  </sheetData>
  <mergeCells count="1">
    <mergeCell ref="B14:C14"/>
  </mergeCell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6" topLeftCell="I7" activePane="bottomRight" state="frozen"/>
      <selection/>
      <selection pane="topRight"/>
      <selection pane="bottomLeft"/>
      <selection pane="bottomRight" activeCell="A14" sqref="A14:C15"/>
    </sheetView>
  </sheetViews>
  <sheetFormatPr defaultColWidth="9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260517</v>
      </c>
      <c r="B2">
        <v>2</v>
      </c>
      <c r="C2" t="s">
        <v>83</v>
      </c>
      <c r="D2" t="s">
        <v>84</v>
      </c>
      <c r="E2">
        <v>43</v>
      </c>
      <c r="F2" t="s">
        <v>17</v>
      </c>
      <c r="G2">
        <v>7</v>
      </c>
      <c r="H2" t="s">
        <v>177</v>
      </c>
      <c r="I2">
        <v>3</v>
      </c>
      <c r="J2">
        <v>25</v>
      </c>
      <c r="K2">
        <v>8</v>
      </c>
      <c r="L2">
        <v>9</v>
      </c>
      <c r="M2">
        <v>18</v>
      </c>
      <c r="N2" s="1">
        <v>0.605</v>
      </c>
      <c r="O2" s="1">
        <v>0.189</v>
      </c>
      <c r="P2">
        <v>21187</v>
      </c>
      <c r="Q2">
        <v>230</v>
      </c>
      <c r="R2">
        <v>33</v>
      </c>
      <c r="S2">
        <v>497</v>
      </c>
      <c r="T2">
        <v>746</v>
      </c>
      <c r="U2">
        <v>2</v>
      </c>
      <c r="V2">
        <v>0</v>
      </c>
      <c r="W2">
        <v>1</v>
      </c>
      <c r="X2">
        <v>26407</v>
      </c>
      <c r="Y2">
        <v>393</v>
      </c>
      <c r="Z2">
        <v>75829</v>
      </c>
      <c r="AA2" s="1">
        <v>0.474</v>
      </c>
      <c r="AB2">
        <v>2658</v>
      </c>
      <c r="AC2" s="3">
        <v>0.430555555555556</v>
      </c>
      <c r="AD2">
        <v>1</v>
      </c>
      <c r="AE2">
        <v>3576</v>
      </c>
      <c r="AF2">
        <v>6</v>
      </c>
      <c r="AG2">
        <v>50</v>
      </c>
      <c r="AH2">
        <v>1</v>
      </c>
      <c r="AI2">
        <v>0</v>
      </c>
    </row>
    <row r="3" spans="1:35">
      <c r="A3">
        <v>260517</v>
      </c>
      <c r="B3">
        <v>2</v>
      </c>
      <c r="C3" t="s">
        <v>83</v>
      </c>
      <c r="D3" t="s">
        <v>84</v>
      </c>
      <c r="E3">
        <v>43</v>
      </c>
      <c r="F3" t="s">
        <v>21</v>
      </c>
      <c r="G3">
        <v>7</v>
      </c>
      <c r="H3" t="s">
        <v>85</v>
      </c>
      <c r="I3">
        <v>2</v>
      </c>
      <c r="J3">
        <v>24</v>
      </c>
      <c r="K3">
        <v>13</v>
      </c>
      <c r="L3">
        <v>7</v>
      </c>
      <c r="M3">
        <v>11</v>
      </c>
      <c r="N3" s="1">
        <v>0.558</v>
      </c>
      <c r="O3" s="1">
        <v>0.277</v>
      </c>
      <c r="P3">
        <v>21088</v>
      </c>
      <c r="Q3">
        <v>299</v>
      </c>
      <c r="R3">
        <v>12</v>
      </c>
      <c r="S3">
        <v>519</v>
      </c>
      <c r="T3">
        <v>653</v>
      </c>
      <c r="U3">
        <v>5</v>
      </c>
      <c r="V3">
        <v>0</v>
      </c>
      <c r="W3">
        <v>0</v>
      </c>
      <c r="X3">
        <v>38724</v>
      </c>
      <c r="Y3">
        <v>1087</v>
      </c>
      <c r="Z3">
        <v>88457</v>
      </c>
      <c r="AA3" s="1">
        <v>0.536</v>
      </c>
      <c r="AB3">
        <v>2252</v>
      </c>
      <c r="AC3" s="3">
        <v>0.281944444444444</v>
      </c>
      <c r="AD3">
        <v>9</v>
      </c>
      <c r="AE3">
        <v>4559</v>
      </c>
      <c r="AF3">
        <v>9</v>
      </c>
      <c r="AG3">
        <v>50</v>
      </c>
      <c r="AH3">
        <v>1</v>
      </c>
      <c r="AI3">
        <v>0</v>
      </c>
    </row>
    <row r="4" spans="1:35">
      <c r="A4">
        <v>260517</v>
      </c>
      <c r="B4">
        <v>2</v>
      </c>
      <c r="C4" t="s">
        <v>83</v>
      </c>
      <c r="D4" t="s">
        <v>84</v>
      </c>
      <c r="E4">
        <v>43</v>
      </c>
      <c r="F4" s="6" t="s">
        <v>30</v>
      </c>
      <c r="G4">
        <v>5</v>
      </c>
      <c r="H4" t="s">
        <v>93</v>
      </c>
      <c r="I4">
        <v>1</v>
      </c>
      <c r="J4">
        <v>28</v>
      </c>
      <c r="K4">
        <v>11</v>
      </c>
      <c r="L4">
        <v>8</v>
      </c>
      <c r="M4">
        <v>14</v>
      </c>
      <c r="N4" s="1">
        <v>0.581</v>
      </c>
      <c r="O4" s="1">
        <v>0.309</v>
      </c>
      <c r="P4">
        <v>30181</v>
      </c>
      <c r="Q4">
        <v>588</v>
      </c>
      <c r="R4">
        <v>15</v>
      </c>
      <c r="S4">
        <v>751</v>
      </c>
      <c r="T4">
        <v>1115</v>
      </c>
      <c r="U4">
        <v>1</v>
      </c>
      <c r="V4">
        <v>2906</v>
      </c>
      <c r="W4">
        <v>0</v>
      </c>
      <c r="X4">
        <v>43167</v>
      </c>
      <c r="Y4">
        <v>1270</v>
      </c>
      <c r="Z4">
        <v>80718</v>
      </c>
      <c r="AA4" s="1">
        <v>0.571</v>
      </c>
      <c r="AB4">
        <v>3565</v>
      </c>
      <c r="AC4" s="3">
        <v>0.25625</v>
      </c>
      <c r="AD4">
        <v>5</v>
      </c>
      <c r="AE4">
        <v>4624</v>
      </c>
      <c r="AF4">
        <v>7</v>
      </c>
      <c r="AG4">
        <v>0</v>
      </c>
      <c r="AH4">
        <v>0</v>
      </c>
      <c r="AI4">
        <v>3</v>
      </c>
    </row>
    <row r="5" spans="1:35">
      <c r="A5">
        <v>260517</v>
      </c>
      <c r="B5">
        <v>2</v>
      </c>
      <c r="C5" t="s">
        <v>83</v>
      </c>
      <c r="D5" t="s">
        <v>84</v>
      </c>
      <c r="E5">
        <v>43</v>
      </c>
      <c r="F5" s="6" t="s">
        <v>18</v>
      </c>
      <c r="G5">
        <v>7.5</v>
      </c>
      <c r="H5" t="s">
        <v>153</v>
      </c>
      <c r="I5">
        <v>4</v>
      </c>
      <c r="J5">
        <v>22</v>
      </c>
      <c r="K5">
        <v>5</v>
      </c>
      <c r="L5">
        <v>15</v>
      </c>
      <c r="M5">
        <v>22</v>
      </c>
      <c r="N5" s="1">
        <v>0.628</v>
      </c>
      <c r="O5" s="1">
        <v>0.102</v>
      </c>
      <c r="P5">
        <v>12992</v>
      </c>
      <c r="Q5">
        <v>102</v>
      </c>
      <c r="R5">
        <v>4</v>
      </c>
      <c r="S5">
        <v>352</v>
      </c>
      <c r="T5">
        <v>542</v>
      </c>
      <c r="U5">
        <v>2</v>
      </c>
      <c r="V5">
        <v>125</v>
      </c>
      <c r="W5">
        <v>0</v>
      </c>
      <c r="X5">
        <v>14178</v>
      </c>
      <c r="Y5">
        <v>384</v>
      </c>
      <c r="Z5">
        <v>46816</v>
      </c>
      <c r="AA5" s="1">
        <v>0.445</v>
      </c>
      <c r="AB5">
        <v>2326</v>
      </c>
      <c r="AC5" s="3">
        <v>0.449305555555556</v>
      </c>
      <c r="AD5">
        <v>6</v>
      </c>
      <c r="AE5">
        <v>1800</v>
      </c>
      <c r="AF5">
        <v>5</v>
      </c>
      <c r="AG5">
        <v>1150</v>
      </c>
      <c r="AH5">
        <v>0</v>
      </c>
      <c r="AI5">
        <v>7</v>
      </c>
    </row>
    <row r="6" spans="1:35">
      <c r="A6">
        <v>260517</v>
      </c>
      <c r="B6">
        <v>2</v>
      </c>
      <c r="C6" t="s">
        <v>83</v>
      </c>
      <c r="D6" t="s">
        <v>84</v>
      </c>
      <c r="E6">
        <v>43</v>
      </c>
      <c r="F6" s="6" t="s">
        <v>41</v>
      </c>
      <c r="G6">
        <v>1.5</v>
      </c>
      <c r="H6" t="s">
        <v>169</v>
      </c>
      <c r="I6">
        <v>5</v>
      </c>
      <c r="J6">
        <v>21</v>
      </c>
      <c r="K6">
        <v>5</v>
      </c>
      <c r="L6">
        <v>10</v>
      </c>
      <c r="M6">
        <v>26</v>
      </c>
      <c r="N6" s="1">
        <v>0.721</v>
      </c>
      <c r="O6" s="1">
        <v>0.123</v>
      </c>
      <c r="P6">
        <v>11210</v>
      </c>
      <c r="Q6">
        <v>39</v>
      </c>
      <c r="R6">
        <v>10</v>
      </c>
      <c r="S6">
        <v>321</v>
      </c>
      <c r="T6">
        <v>505</v>
      </c>
      <c r="U6">
        <v>1</v>
      </c>
      <c r="V6">
        <v>0</v>
      </c>
      <c r="W6">
        <v>0</v>
      </c>
      <c r="X6">
        <v>17125</v>
      </c>
      <c r="Y6">
        <v>46</v>
      </c>
      <c r="Z6">
        <v>33639</v>
      </c>
      <c r="AA6" s="1">
        <v>0.396</v>
      </c>
      <c r="AB6">
        <v>1716</v>
      </c>
      <c r="AC6" s="3">
        <v>0.268055555555556</v>
      </c>
      <c r="AD6">
        <v>2</v>
      </c>
      <c r="AE6">
        <v>2302</v>
      </c>
      <c r="AF6">
        <v>6</v>
      </c>
      <c r="AG6">
        <v>900</v>
      </c>
      <c r="AH6">
        <v>0</v>
      </c>
      <c r="AI6">
        <v>5</v>
      </c>
    </row>
    <row r="7" spans="1:35">
      <c r="A7">
        <v>260517</v>
      </c>
      <c r="B7">
        <v>2</v>
      </c>
      <c r="C7" t="s">
        <v>76</v>
      </c>
      <c r="D7" t="s">
        <v>77</v>
      </c>
      <c r="E7">
        <v>49</v>
      </c>
      <c r="F7" s="6" t="s">
        <v>28</v>
      </c>
      <c r="G7">
        <v>5.5</v>
      </c>
      <c r="H7" t="s">
        <v>112</v>
      </c>
      <c r="I7">
        <v>4</v>
      </c>
      <c r="J7">
        <v>22</v>
      </c>
      <c r="K7">
        <v>10</v>
      </c>
      <c r="L7">
        <v>12</v>
      </c>
      <c r="M7">
        <v>13</v>
      </c>
      <c r="N7" s="1">
        <v>0.469</v>
      </c>
      <c r="O7" s="1">
        <v>0.092</v>
      </c>
      <c r="P7">
        <v>19393</v>
      </c>
      <c r="Q7">
        <v>91</v>
      </c>
      <c r="R7">
        <v>2</v>
      </c>
      <c r="S7">
        <v>448</v>
      </c>
      <c r="T7">
        <v>568</v>
      </c>
      <c r="U7">
        <v>2</v>
      </c>
      <c r="V7">
        <v>1085</v>
      </c>
      <c r="W7">
        <v>0</v>
      </c>
      <c r="X7">
        <v>14828</v>
      </c>
      <c r="Y7">
        <v>633</v>
      </c>
      <c r="Z7">
        <v>37558</v>
      </c>
      <c r="AA7" s="1">
        <v>0.393</v>
      </c>
      <c r="AB7">
        <v>2656</v>
      </c>
      <c r="AC7" s="3">
        <v>0.345833333333333</v>
      </c>
      <c r="AD7">
        <v>3</v>
      </c>
      <c r="AE7">
        <v>2697</v>
      </c>
      <c r="AF7">
        <v>5</v>
      </c>
      <c r="AG7">
        <v>950</v>
      </c>
      <c r="AH7">
        <v>1</v>
      </c>
      <c r="AI7">
        <v>11</v>
      </c>
    </row>
    <row r="8" spans="1:35">
      <c r="A8">
        <v>260517</v>
      </c>
      <c r="B8">
        <v>2</v>
      </c>
      <c r="C8" t="s">
        <v>76</v>
      </c>
      <c r="D8" t="s">
        <v>77</v>
      </c>
      <c r="E8">
        <v>49</v>
      </c>
      <c r="F8" s="6" t="s">
        <v>13</v>
      </c>
      <c r="G8">
        <v>10.5</v>
      </c>
      <c r="H8" t="s">
        <v>78</v>
      </c>
      <c r="I8">
        <v>2</v>
      </c>
      <c r="J8">
        <v>29</v>
      </c>
      <c r="K8">
        <v>17</v>
      </c>
      <c r="L8">
        <v>4</v>
      </c>
      <c r="M8">
        <v>25</v>
      </c>
      <c r="N8" s="1">
        <v>0.857</v>
      </c>
      <c r="O8" s="1">
        <v>0.494</v>
      </c>
      <c r="P8">
        <v>34302</v>
      </c>
      <c r="Q8">
        <v>364</v>
      </c>
      <c r="R8">
        <v>6</v>
      </c>
      <c r="S8">
        <v>737</v>
      </c>
      <c r="T8">
        <v>1189</v>
      </c>
      <c r="U8">
        <v>5</v>
      </c>
      <c r="V8">
        <v>0</v>
      </c>
      <c r="W8">
        <v>0</v>
      </c>
      <c r="X8">
        <v>79885</v>
      </c>
      <c r="Y8">
        <v>7706</v>
      </c>
      <c r="Z8">
        <v>54886</v>
      </c>
      <c r="AA8" s="1">
        <v>0.496</v>
      </c>
      <c r="AB8">
        <v>1351</v>
      </c>
      <c r="AC8" s="3">
        <v>0.146527777777778</v>
      </c>
      <c r="AD8">
        <v>7</v>
      </c>
      <c r="AE8">
        <v>3613</v>
      </c>
      <c r="AF8">
        <v>8</v>
      </c>
      <c r="AG8">
        <v>950</v>
      </c>
      <c r="AH8">
        <v>1</v>
      </c>
      <c r="AI8">
        <v>3</v>
      </c>
    </row>
    <row r="9" spans="1:35">
      <c r="A9">
        <v>260517</v>
      </c>
      <c r="B9">
        <v>2</v>
      </c>
      <c r="C9" t="s">
        <v>76</v>
      </c>
      <c r="D9" t="s">
        <v>77</v>
      </c>
      <c r="E9">
        <v>49</v>
      </c>
      <c r="F9" s="6" t="s">
        <v>40</v>
      </c>
      <c r="G9">
        <v>3</v>
      </c>
      <c r="H9" t="s">
        <v>98</v>
      </c>
      <c r="I9">
        <v>5</v>
      </c>
      <c r="J9">
        <v>25</v>
      </c>
      <c r="K9">
        <v>6</v>
      </c>
      <c r="L9">
        <v>9</v>
      </c>
      <c r="M9">
        <v>17</v>
      </c>
      <c r="N9" s="1">
        <v>0.469</v>
      </c>
      <c r="O9" s="1">
        <v>0.075</v>
      </c>
      <c r="P9">
        <v>15514</v>
      </c>
      <c r="Q9">
        <v>39</v>
      </c>
      <c r="R9">
        <v>1</v>
      </c>
      <c r="S9">
        <v>371</v>
      </c>
      <c r="T9">
        <v>711</v>
      </c>
      <c r="U9">
        <v>0</v>
      </c>
      <c r="V9">
        <v>0</v>
      </c>
      <c r="W9">
        <v>2</v>
      </c>
      <c r="X9">
        <v>12062</v>
      </c>
      <c r="Y9">
        <v>283</v>
      </c>
      <c r="Z9">
        <v>41946</v>
      </c>
      <c r="AA9" s="1">
        <v>0.446</v>
      </c>
      <c r="AB9">
        <v>1138</v>
      </c>
      <c r="AC9" s="3">
        <v>0.240972222222222</v>
      </c>
      <c r="AD9">
        <v>4</v>
      </c>
      <c r="AE9">
        <v>1914</v>
      </c>
      <c r="AF9">
        <v>5</v>
      </c>
      <c r="AG9">
        <v>700</v>
      </c>
      <c r="AH9">
        <v>1</v>
      </c>
      <c r="AI9">
        <v>4</v>
      </c>
    </row>
    <row r="10" spans="1:35">
      <c r="A10">
        <v>260517</v>
      </c>
      <c r="B10">
        <v>2</v>
      </c>
      <c r="C10" t="s">
        <v>76</v>
      </c>
      <c r="D10" t="s">
        <v>77</v>
      </c>
      <c r="E10">
        <v>49</v>
      </c>
      <c r="F10" s="6" t="s">
        <v>20</v>
      </c>
      <c r="G10">
        <v>5.5</v>
      </c>
      <c r="H10" t="s">
        <v>132</v>
      </c>
      <c r="I10">
        <v>1</v>
      </c>
      <c r="J10">
        <v>27</v>
      </c>
      <c r="K10">
        <v>5</v>
      </c>
      <c r="L10">
        <v>5</v>
      </c>
      <c r="M10">
        <v>19</v>
      </c>
      <c r="N10" s="1">
        <v>0.49</v>
      </c>
      <c r="O10" s="1">
        <v>0.161</v>
      </c>
      <c r="P10">
        <v>28380</v>
      </c>
      <c r="Q10">
        <v>436</v>
      </c>
      <c r="R10">
        <v>15</v>
      </c>
      <c r="S10">
        <v>785</v>
      </c>
      <c r="T10">
        <v>982</v>
      </c>
      <c r="U10">
        <v>5</v>
      </c>
      <c r="V10">
        <v>0</v>
      </c>
      <c r="W10">
        <v>0</v>
      </c>
      <c r="X10">
        <v>26131</v>
      </c>
      <c r="Y10">
        <v>8382</v>
      </c>
      <c r="Z10">
        <v>76450</v>
      </c>
      <c r="AA10" s="1">
        <v>0.523</v>
      </c>
      <c r="AB10">
        <v>1351</v>
      </c>
      <c r="AC10" s="3">
        <v>0.185416666666667</v>
      </c>
      <c r="AD10">
        <v>10</v>
      </c>
      <c r="AE10">
        <v>4241</v>
      </c>
      <c r="AF10">
        <v>6</v>
      </c>
      <c r="AG10">
        <v>150</v>
      </c>
      <c r="AH10">
        <v>4</v>
      </c>
      <c r="AI10">
        <v>3</v>
      </c>
    </row>
    <row r="11" spans="1:35">
      <c r="A11">
        <v>260517</v>
      </c>
      <c r="B11">
        <v>2</v>
      </c>
      <c r="C11" t="s">
        <v>76</v>
      </c>
      <c r="D11" t="s">
        <v>77</v>
      </c>
      <c r="E11">
        <v>49</v>
      </c>
      <c r="F11" s="6" t="s">
        <v>36</v>
      </c>
      <c r="G11">
        <v>3.5</v>
      </c>
      <c r="H11" t="s">
        <v>130</v>
      </c>
      <c r="I11">
        <v>3</v>
      </c>
      <c r="J11">
        <v>27</v>
      </c>
      <c r="K11">
        <v>9</v>
      </c>
      <c r="L11">
        <v>13</v>
      </c>
      <c r="M11">
        <v>19</v>
      </c>
      <c r="N11" s="1">
        <v>0.571</v>
      </c>
      <c r="O11" s="1">
        <v>0.179</v>
      </c>
      <c r="P11">
        <v>28339</v>
      </c>
      <c r="Q11">
        <v>243</v>
      </c>
      <c r="R11">
        <v>13</v>
      </c>
      <c r="S11">
        <v>542</v>
      </c>
      <c r="T11">
        <v>927</v>
      </c>
      <c r="U11">
        <v>3</v>
      </c>
      <c r="V11">
        <v>0</v>
      </c>
      <c r="W11">
        <v>0</v>
      </c>
      <c r="X11">
        <v>28950</v>
      </c>
      <c r="Y11">
        <v>10994</v>
      </c>
      <c r="Z11">
        <v>70124</v>
      </c>
      <c r="AA11" s="1">
        <v>0.58</v>
      </c>
      <c r="AB11">
        <v>2667</v>
      </c>
      <c r="AC11" s="3">
        <v>0.447222222222222</v>
      </c>
      <c r="AD11">
        <v>8</v>
      </c>
      <c r="AE11">
        <v>3667</v>
      </c>
      <c r="AF11">
        <v>6</v>
      </c>
      <c r="AG11">
        <v>0</v>
      </c>
      <c r="AH11">
        <v>3</v>
      </c>
      <c r="AI11">
        <v>0</v>
      </c>
    </row>
    <row r="14" spans="1:35">
      <c r="A14" t="s">
        <v>90</v>
      </c>
      <c r="B14" s="4">
        <v>8814798529</v>
      </c>
      <c r="C14" s="4"/>
    </row>
    <row r="15" spans="1:35">
      <c r="A15" t="s">
        <v>91</v>
      </c>
      <c r="B15" s="5" t="s">
        <v>232</v>
      </c>
    </row>
  </sheetData>
  <mergeCells count="1">
    <mergeCell ref="B14:C14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6" topLeftCell="I7" activePane="bottomRight" state="frozen"/>
      <selection/>
      <selection pane="topRight"/>
      <selection pane="bottomLeft"/>
      <selection pane="bottomRight" activeCell="A14" sqref="A14:C15"/>
    </sheetView>
  </sheetViews>
  <sheetFormatPr defaultColWidth="9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260517</v>
      </c>
      <c r="B2">
        <v>3</v>
      </c>
      <c r="C2" t="s">
        <v>83</v>
      </c>
      <c r="D2" t="s">
        <v>77</v>
      </c>
      <c r="E2">
        <v>27</v>
      </c>
      <c r="F2" s="6" t="s">
        <v>18</v>
      </c>
      <c r="G2">
        <v>7.5</v>
      </c>
      <c r="H2" t="s">
        <v>204</v>
      </c>
      <c r="I2">
        <v>1</v>
      </c>
      <c r="J2">
        <v>17</v>
      </c>
      <c r="K2">
        <v>7</v>
      </c>
      <c r="L2">
        <v>3</v>
      </c>
      <c r="M2">
        <v>3</v>
      </c>
      <c r="N2" s="1">
        <v>0.37</v>
      </c>
      <c r="O2" s="1">
        <v>0.144</v>
      </c>
      <c r="P2">
        <v>16037</v>
      </c>
      <c r="Q2">
        <v>255</v>
      </c>
      <c r="R2">
        <v>22</v>
      </c>
      <c r="S2">
        <v>605</v>
      </c>
      <c r="T2">
        <v>639</v>
      </c>
      <c r="U2">
        <v>0</v>
      </c>
      <c r="V2">
        <v>0</v>
      </c>
      <c r="W2">
        <v>0</v>
      </c>
      <c r="X2">
        <v>8332</v>
      </c>
      <c r="Y2">
        <v>4475</v>
      </c>
      <c r="Z2">
        <v>6379</v>
      </c>
      <c r="AA2" s="1">
        <v>0.329</v>
      </c>
      <c r="AB2">
        <v>97</v>
      </c>
      <c r="AC2" s="3">
        <v>0.0513888888888889</v>
      </c>
      <c r="AD2">
        <v>9</v>
      </c>
      <c r="AE2">
        <v>4430</v>
      </c>
      <c r="AF2">
        <v>7</v>
      </c>
      <c r="AG2">
        <v>0</v>
      </c>
      <c r="AH2">
        <v>0</v>
      </c>
      <c r="AI2">
        <v>0</v>
      </c>
    </row>
    <row r="3" spans="1:35">
      <c r="A3">
        <v>260517</v>
      </c>
      <c r="B3">
        <v>3</v>
      </c>
      <c r="C3" t="s">
        <v>83</v>
      </c>
      <c r="D3" t="s">
        <v>77</v>
      </c>
      <c r="E3">
        <v>27</v>
      </c>
      <c r="F3" s="6" t="s">
        <v>20</v>
      </c>
      <c r="G3">
        <v>5.5</v>
      </c>
      <c r="H3" t="s">
        <v>140</v>
      </c>
      <c r="I3">
        <v>5</v>
      </c>
      <c r="J3">
        <v>13</v>
      </c>
      <c r="K3">
        <v>1</v>
      </c>
      <c r="L3">
        <v>5</v>
      </c>
      <c r="M3">
        <v>10</v>
      </c>
      <c r="N3" s="1">
        <v>0.407</v>
      </c>
      <c r="O3" s="1">
        <v>0.14</v>
      </c>
      <c r="P3">
        <v>7682</v>
      </c>
      <c r="Q3">
        <v>24</v>
      </c>
      <c r="R3">
        <v>2</v>
      </c>
      <c r="S3">
        <v>257</v>
      </c>
      <c r="T3">
        <v>403</v>
      </c>
      <c r="U3">
        <v>2</v>
      </c>
      <c r="V3">
        <v>0</v>
      </c>
      <c r="W3">
        <v>1</v>
      </c>
      <c r="X3">
        <v>8089</v>
      </c>
      <c r="Y3">
        <v>22</v>
      </c>
      <c r="Z3">
        <v>9586</v>
      </c>
      <c r="AA3" s="1">
        <v>0.277</v>
      </c>
      <c r="AB3">
        <v>177</v>
      </c>
      <c r="AC3" s="3">
        <v>0.0826388888888889</v>
      </c>
      <c r="AD3">
        <v>1</v>
      </c>
      <c r="AE3">
        <v>1710</v>
      </c>
      <c r="AF3">
        <v>5</v>
      </c>
      <c r="AG3">
        <v>600</v>
      </c>
      <c r="AH3">
        <v>8</v>
      </c>
      <c r="AI3">
        <v>4</v>
      </c>
    </row>
    <row r="4" spans="1:35">
      <c r="A4">
        <v>260517</v>
      </c>
      <c r="B4">
        <v>3</v>
      </c>
      <c r="C4" t="s">
        <v>83</v>
      </c>
      <c r="D4" t="s">
        <v>77</v>
      </c>
      <c r="E4">
        <v>27</v>
      </c>
      <c r="F4" s="6" t="s">
        <v>41</v>
      </c>
      <c r="G4">
        <v>1.5</v>
      </c>
      <c r="H4" t="s">
        <v>94</v>
      </c>
      <c r="I4">
        <v>4</v>
      </c>
      <c r="J4">
        <v>12</v>
      </c>
      <c r="K4">
        <v>2</v>
      </c>
      <c r="L4">
        <v>4</v>
      </c>
      <c r="M4">
        <v>12</v>
      </c>
      <c r="N4" s="1">
        <v>0.519</v>
      </c>
      <c r="O4" s="1">
        <v>0.134</v>
      </c>
      <c r="P4">
        <v>5906</v>
      </c>
      <c r="Q4">
        <v>16</v>
      </c>
      <c r="R4">
        <v>0</v>
      </c>
      <c r="S4">
        <v>246</v>
      </c>
      <c r="T4">
        <v>323</v>
      </c>
      <c r="U4">
        <v>0</v>
      </c>
      <c r="V4">
        <v>0</v>
      </c>
      <c r="W4">
        <v>0</v>
      </c>
      <c r="X4">
        <v>7748</v>
      </c>
      <c r="Y4">
        <v>54</v>
      </c>
      <c r="Z4">
        <v>8859</v>
      </c>
      <c r="AA4" s="1">
        <v>0.232</v>
      </c>
      <c r="AB4">
        <v>170</v>
      </c>
      <c r="AC4" s="3">
        <v>0.0659722222222222</v>
      </c>
      <c r="AD4">
        <v>5</v>
      </c>
      <c r="AE4">
        <v>3563</v>
      </c>
      <c r="AF4">
        <v>6</v>
      </c>
      <c r="AG4">
        <v>400</v>
      </c>
      <c r="AH4">
        <v>0</v>
      </c>
      <c r="AI4">
        <v>1</v>
      </c>
    </row>
    <row r="5" spans="1:35">
      <c r="A5">
        <v>260517</v>
      </c>
      <c r="B5">
        <v>3</v>
      </c>
      <c r="C5" t="s">
        <v>83</v>
      </c>
      <c r="D5" t="s">
        <v>77</v>
      </c>
      <c r="E5">
        <v>27</v>
      </c>
      <c r="F5" s="6" t="s">
        <v>14</v>
      </c>
      <c r="G5">
        <v>9.5</v>
      </c>
      <c r="H5" t="s">
        <v>119</v>
      </c>
      <c r="I5">
        <v>3</v>
      </c>
      <c r="J5">
        <v>15</v>
      </c>
      <c r="K5">
        <v>2</v>
      </c>
      <c r="L5">
        <v>5</v>
      </c>
      <c r="M5">
        <v>12</v>
      </c>
      <c r="N5" s="1">
        <v>0.519</v>
      </c>
      <c r="O5" s="1">
        <v>0.215</v>
      </c>
      <c r="P5">
        <v>13034</v>
      </c>
      <c r="Q5">
        <v>164</v>
      </c>
      <c r="R5">
        <v>25</v>
      </c>
      <c r="S5">
        <v>519</v>
      </c>
      <c r="T5">
        <v>482</v>
      </c>
      <c r="U5">
        <v>1</v>
      </c>
      <c r="V5">
        <v>0</v>
      </c>
      <c r="W5">
        <v>0</v>
      </c>
      <c r="X5">
        <v>12428</v>
      </c>
      <c r="Y5">
        <v>774</v>
      </c>
      <c r="Z5">
        <v>21338</v>
      </c>
      <c r="AA5" s="1">
        <v>0.293</v>
      </c>
      <c r="AB5">
        <v>629</v>
      </c>
      <c r="AC5" s="3">
        <v>0.100694444444444</v>
      </c>
      <c r="AD5">
        <v>2</v>
      </c>
      <c r="AE5">
        <v>4241</v>
      </c>
      <c r="AF5">
        <v>6</v>
      </c>
      <c r="AG5">
        <v>0</v>
      </c>
      <c r="AH5">
        <v>0</v>
      </c>
      <c r="AI5">
        <v>0</v>
      </c>
    </row>
    <row r="6" spans="1:35">
      <c r="A6">
        <v>260517</v>
      </c>
      <c r="B6">
        <v>3</v>
      </c>
      <c r="C6" t="s">
        <v>83</v>
      </c>
      <c r="D6" t="s">
        <v>77</v>
      </c>
      <c r="E6">
        <v>27</v>
      </c>
      <c r="F6" t="s">
        <v>19</v>
      </c>
      <c r="G6">
        <v>7</v>
      </c>
      <c r="H6" t="s">
        <v>125</v>
      </c>
      <c r="I6">
        <v>2</v>
      </c>
      <c r="J6">
        <v>21</v>
      </c>
      <c r="K6">
        <v>15</v>
      </c>
      <c r="L6">
        <v>0</v>
      </c>
      <c r="M6">
        <v>1</v>
      </c>
      <c r="N6" s="1">
        <v>0.593</v>
      </c>
      <c r="O6" s="1">
        <v>0.367</v>
      </c>
      <c r="P6">
        <v>16996</v>
      </c>
      <c r="Q6">
        <v>200</v>
      </c>
      <c r="R6">
        <v>5</v>
      </c>
      <c r="S6">
        <v>675</v>
      </c>
      <c r="T6">
        <v>990</v>
      </c>
      <c r="U6">
        <v>1</v>
      </c>
      <c r="V6">
        <v>0</v>
      </c>
      <c r="W6">
        <v>0</v>
      </c>
      <c r="X6">
        <v>21246</v>
      </c>
      <c r="Y6">
        <v>1898</v>
      </c>
      <c r="Z6">
        <v>25542</v>
      </c>
      <c r="AA6" s="1">
        <v>0.497</v>
      </c>
      <c r="AB6">
        <v>0</v>
      </c>
      <c r="AC6" s="3">
        <v>0</v>
      </c>
      <c r="AD6">
        <v>6</v>
      </c>
      <c r="AE6">
        <v>3926</v>
      </c>
      <c r="AF6">
        <v>9</v>
      </c>
      <c r="AG6">
        <v>150</v>
      </c>
      <c r="AH6">
        <v>1</v>
      </c>
      <c r="AI6">
        <v>1</v>
      </c>
    </row>
    <row r="7" spans="1:35">
      <c r="A7">
        <v>260517</v>
      </c>
      <c r="B7">
        <v>3</v>
      </c>
      <c r="C7" t="s">
        <v>76</v>
      </c>
      <c r="D7" t="s">
        <v>84</v>
      </c>
      <c r="E7">
        <v>17</v>
      </c>
      <c r="F7" t="s">
        <v>17</v>
      </c>
      <c r="G7">
        <v>7</v>
      </c>
      <c r="H7" t="s">
        <v>177</v>
      </c>
      <c r="I7">
        <v>3</v>
      </c>
      <c r="J7">
        <v>15</v>
      </c>
      <c r="K7">
        <v>3</v>
      </c>
      <c r="L7">
        <v>4</v>
      </c>
      <c r="M7">
        <v>2</v>
      </c>
      <c r="N7" s="1">
        <v>0.294</v>
      </c>
      <c r="O7" s="1">
        <v>0.136</v>
      </c>
      <c r="P7">
        <v>10777</v>
      </c>
      <c r="Q7">
        <v>149</v>
      </c>
      <c r="R7">
        <v>15</v>
      </c>
      <c r="S7">
        <v>428</v>
      </c>
      <c r="T7">
        <v>476</v>
      </c>
      <c r="U7">
        <v>4</v>
      </c>
      <c r="V7">
        <v>0</v>
      </c>
      <c r="W7">
        <v>0</v>
      </c>
      <c r="X7">
        <v>6288</v>
      </c>
      <c r="Y7">
        <v>613</v>
      </c>
      <c r="Z7">
        <v>20521</v>
      </c>
      <c r="AA7" s="1">
        <v>0.39</v>
      </c>
      <c r="AB7">
        <v>628</v>
      </c>
      <c r="AC7" s="3">
        <v>0.09375</v>
      </c>
      <c r="AD7">
        <v>3</v>
      </c>
      <c r="AE7">
        <v>3409</v>
      </c>
      <c r="AF7">
        <v>6</v>
      </c>
      <c r="AG7">
        <v>200</v>
      </c>
      <c r="AH7">
        <v>2</v>
      </c>
      <c r="AI7">
        <v>2</v>
      </c>
    </row>
    <row r="8" spans="1:35">
      <c r="A8">
        <v>260517</v>
      </c>
      <c r="B8">
        <v>3</v>
      </c>
      <c r="C8" t="s">
        <v>76</v>
      </c>
      <c r="D8" t="s">
        <v>84</v>
      </c>
      <c r="E8">
        <v>17</v>
      </c>
      <c r="F8" t="s">
        <v>25</v>
      </c>
      <c r="G8">
        <v>5</v>
      </c>
      <c r="H8" t="s">
        <v>121</v>
      </c>
      <c r="I8">
        <v>5</v>
      </c>
      <c r="J8">
        <v>10</v>
      </c>
      <c r="K8">
        <v>1</v>
      </c>
      <c r="L8">
        <v>8</v>
      </c>
      <c r="M8">
        <v>7</v>
      </c>
      <c r="N8" s="1">
        <v>0.471</v>
      </c>
      <c r="O8" s="1">
        <v>0.14</v>
      </c>
      <c r="P8">
        <v>5175</v>
      </c>
      <c r="Q8">
        <v>28</v>
      </c>
      <c r="R8">
        <v>0</v>
      </c>
      <c r="S8">
        <v>229</v>
      </c>
      <c r="T8">
        <v>264</v>
      </c>
      <c r="U8">
        <v>1</v>
      </c>
      <c r="V8">
        <v>125</v>
      </c>
      <c r="W8">
        <v>0</v>
      </c>
      <c r="X8">
        <v>6480</v>
      </c>
      <c r="Y8">
        <v>319</v>
      </c>
      <c r="Z8">
        <v>15467</v>
      </c>
      <c r="AA8" s="1">
        <v>0.245</v>
      </c>
      <c r="AB8">
        <v>314</v>
      </c>
      <c r="AC8" s="3">
        <v>0.147222222222222</v>
      </c>
      <c r="AD8">
        <v>10</v>
      </c>
      <c r="AE8">
        <v>1741</v>
      </c>
      <c r="AF8">
        <v>5</v>
      </c>
      <c r="AG8">
        <v>700</v>
      </c>
      <c r="AH8">
        <v>1</v>
      </c>
      <c r="AI8">
        <v>3</v>
      </c>
    </row>
    <row r="9" spans="1:35">
      <c r="A9">
        <v>260517</v>
      </c>
      <c r="B9">
        <v>3</v>
      </c>
      <c r="C9" t="s">
        <v>76</v>
      </c>
      <c r="D9" t="s">
        <v>84</v>
      </c>
      <c r="E9">
        <v>17</v>
      </c>
      <c r="F9" s="6" t="s">
        <v>30</v>
      </c>
      <c r="G9">
        <v>5</v>
      </c>
      <c r="H9" t="s">
        <v>93</v>
      </c>
      <c r="I9">
        <v>1</v>
      </c>
      <c r="J9">
        <v>17</v>
      </c>
      <c r="K9">
        <v>2</v>
      </c>
      <c r="L9">
        <v>5</v>
      </c>
      <c r="M9">
        <v>3</v>
      </c>
      <c r="N9" s="1">
        <v>0.294</v>
      </c>
      <c r="O9" s="1">
        <v>0.137</v>
      </c>
      <c r="P9">
        <v>12676</v>
      </c>
      <c r="Q9">
        <v>261</v>
      </c>
      <c r="R9">
        <v>3</v>
      </c>
      <c r="S9">
        <v>496</v>
      </c>
      <c r="T9">
        <v>622</v>
      </c>
      <c r="U9">
        <v>2</v>
      </c>
      <c r="V9">
        <v>410</v>
      </c>
      <c r="W9">
        <v>0</v>
      </c>
      <c r="X9">
        <v>6317</v>
      </c>
      <c r="Y9">
        <v>459</v>
      </c>
      <c r="Z9">
        <v>19341</v>
      </c>
      <c r="AA9" s="1">
        <v>0.409</v>
      </c>
      <c r="AB9">
        <v>702</v>
      </c>
      <c r="AC9" s="3">
        <v>0.120833333333333</v>
      </c>
      <c r="AD9">
        <v>7</v>
      </c>
      <c r="AE9">
        <v>3563</v>
      </c>
      <c r="AF9">
        <v>6</v>
      </c>
      <c r="AG9">
        <v>0</v>
      </c>
      <c r="AH9">
        <v>1</v>
      </c>
      <c r="AI9">
        <v>0</v>
      </c>
    </row>
    <row r="10" spans="1:35">
      <c r="A10">
        <v>260517</v>
      </c>
      <c r="B10">
        <v>3</v>
      </c>
      <c r="C10" t="s">
        <v>76</v>
      </c>
      <c r="D10" t="s">
        <v>84</v>
      </c>
      <c r="E10">
        <v>17</v>
      </c>
      <c r="F10" s="6" t="s">
        <v>36</v>
      </c>
      <c r="G10">
        <v>3.5</v>
      </c>
      <c r="H10" t="s">
        <v>158</v>
      </c>
      <c r="I10">
        <v>4</v>
      </c>
      <c r="J10">
        <v>11</v>
      </c>
      <c r="K10">
        <v>4</v>
      </c>
      <c r="L10">
        <v>7</v>
      </c>
      <c r="M10">
        <v>7</v>
      </c>
      <c r="N10" s="1">
        <v>0.647</v>
      </c>
      <c r="O10" s="1">
        <v>0.194</v>
      </c>
      <c r="P10">
        <v>5397</v>
      </c>
      <c r="Q10">
        <v>20</v>
      </c>
      <c r="R10">
        <v>1</v>
      </c>
      <c r="S10">
        <v>235</v>
      </c>
      <c r="T10">
        <v>307</v>
      </c>
      <c r="U10">
        <v>1</v>
      </c>
      <c r="V10">
        <v>885</v>
      </c>
      <c r="W10">
        <v>0</v>
      </c>
      <c r="X10">
        <v>8953</v>
      </c>
      <c r="Y10">
        <v>429</v>
      </c>
      <c r="Z10">
        <v>11551</v>
      </c>
      <c r="AA10" s="1">
        <v>0.3</v>
      </c>
      <c r="AB10">
        <v>591</v>
      </c>
      <c r="AC10" s="3">
        <v>0.138888888888889</v>
      </c>
      <c r="AD10">
        <v>4</v>
      </c>
      <c r="AE10">
        <v>2686</v>
      </c>
      <c r="AF10">
        <v>6</v>
      </c>
      <c r="AG10">
        <v>350</v>
      </c>
      <c r="AH10">
        <v>1</v>
      </c>
      <c r="AI10">
        <v>4</v>
      </c>
    </row>
    <row r="11" spans="1:35">
      <c r="A11">
        <v>260517</v>
      </c>
      <c r="B11">
        <v>3</v>
      </c>
      <c r="C11" t="s">
        <v>76</v>
      </c>
      <c r="D11" t="s">
        <v>84</v>
      </c>
      <c r="E11">
        <v>17</v>
      </c>
      <c r="F11" s="6" t="s">
        <v>13</v>
      </c>
      <c r="G11">
        <v>10.5</v>
      </c>
      <c r="H11" t="s">
        <v>143</v>
      </c>
      <c r="I11">
        <v>2</v>
      </c>
      <c r="J11">
        <v>15</v>
      </c>
      <c r="K11">
        <v>7</v>
      </c>
      <c r="L11">
        <v>4</v>
      </c>
      <c r="M11">
        <v>4</v>
      </c>
      <c r="N11" s="1">
        <v>0.647</v>
      </c>
      <c r="O11" s="1">
        <v>0.394</v>
      </c>
      <c r="P11">
        <v>11508</v>
      </c>
      <c r="Q11">
        <v>196</v>
      </c>
      <c r="R11">
        <v>5</v>
      </c>
      <c r="S11">
        <v>487</v>
      </c>
      <c r="T11">
        <v>535</v>
      </c>
      <c r="U11">
        <v>2</v>
      </c>
      <c r="V11">
        <v>0</v>
      </c>
      <c r="W11">
        <v>0</v>
      </c>
      <c r="X11">
        <v>18221</v>
      </c>
      <c r="Y11">
        <v>0</v>
      </c>
      <c r="Z11">
        <v>29982</v>
      </c>
      <c r="AA11" s="1">
        <v>0.529</v>
      </c>
      <c r="AB11">
        <v>659</v>
      </c>
      <c r="AC11" s="3">
        <v>0.110416666666667</v>
      </c>
      <c r="AD11">
        <v>8</v>
      </c>
      <c r="AE11">
        <v>4993</v>
      </c>
      <c r="AF11">
        <v>8</v>
      </c>
      <c r="AG11">
        <v>130</v>
      </c>
      <c r="AH11">
        <v>1</v>
      </c>
      <c r="AI11">
        <v>1</v>
      </c>
    </row>
    <row r="14" spans="1:35">
      <c r="A14" t="s">
        <v>90</v>
      </c>
      <c r="B14" s="4">
        <v>8814893445</v>
      </c>
      <c r="C14" s="4"/>
    </row>
    <row r="15" spans="1:35">
      <c r="A15" t="s">
        <v>91</v>
      </c>
      <c r="B15" s="5" t="s">
        <v>233</v>
      </c>
    </row>
  </sheetData>
  <mergeCells count="1">
    <mergeCell ref="B14:C14"/>
  </mergeCell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6" topLeftCell="I7" activePane="bottomRight" state="frozen"/>
      <selection/>
      <selection pane="topRight"/>
      <selection pane="bottomLeft"/>
      <selection pane="bottomRight" activeCell="G2" sqref="G2"/>
    </sheetView>
  </sheetViews>
  <sheetFormatPr defaultColWidth="9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260517</v>
      </c>
      <c r="B2">
        <v>4</v>
      </c>
      <c r="C2" t="s">
        <v>83</v>
      </c>
      <c r="D2" t="s">
        <v>77</v>
      </c>
      <c r="E2">
        <v>35</v>
      </c>
      <c r="F2" s="6" t="s">
        <v>19</v>
      </c>
      <c r="G2">
        <v>7</v>
      </c>
      <c r="H2" t="s">
        <v>104</v>
      </c>
      <c r="I2">
        <v>3</v>
      </c>
      <c r="J2">
        <v>17</v>
      </c>
      <c r="K2">
        <v>15</v>
      </c>
      <c r="L2">
        <v>3</v>
      </c>
      <c r="M2">
        <v>12</v>
      </c>
      <c r="N2" s="1">
        <v>0.771</v>
      </c>
      <c r="O2" s="1">
        <v>0.333</v>
      </c>
      <c r="P2">
        <v>14070</v>
      </c>
      <c r="Q2">
        <v>172</v>
      </c>
      <c r="R2">
        <v>4</v>
      </c>
      <c r="S2">
        <v>670</v>
      </c>
      <c r="T2">
        <v>741</v>
      </c>
      <c r="U2">
        <v>1</v>
      </c>
      <c r="V2">
        <v>0</v>
      </c>
      <c r="W2">
        <v>0</v>
      </c>
      <c r="X2">
        <v>18749</v>
      </c>
      <c r="Y2">
        <v>88</v>
      </c>
      <c r="Z2">
        <v>23579</v>
      </c>
      <c r="AA2" s="1">
        <v>0.403</v>
      </c>
      <c r="AB2">
        <v>266</v>
      </c>
      <c r="AC2" s="3">
        <v>0.0597222222222222</v>
      </c>
      <c r="AD2">
        <v>9</v>
      </c>
      <c r="AE2">
        <v>5276</v>
      </c>
      <c r="AF2">
        <v>7</v>
      </c>
      <c r="AG2">
        <v>50</v>
      </c>
      <c r="AH2">
        <v>0</v>
      </c>
      <c r="AI2">
        <v>1</v>
      </c>
    </row>
    <row r="3" spans="1:35">
      <c r="A3">
        <v>260517</v>
      </c>
      <c r="B3">
        <v>4</v>
      </c>
      <c r="C3" t="s">
        <v>83</v>
      </c>
      <c r="D3" t="s">
        <v>77</v>
      </c>
      <c r="E3">
        <v>35</v>
      </c>
      <c r="F3" s="6" t="s">
        <v>41</v>
      </c>
      <c r="G3">
        <v>1.5</v>
      </c>
      <c r="H3" t="s">
        <v>94</v>
      </c>
      <c r="I3">
        <v>5</v>
      </c>
      <c r="J3">
        <v>12</v>
      </c>
      <c r="K3">
        <v>1</v>
      </c>
      <c r="L3">
        <v>5</v>
      </c>
      <c r="M3">
        <v>17</v>
      </c>
      <c r="N3" s="1">
        <v>0.514</v>
      </c>
      <c r="O3" s="1">
        <v>0.14</v>
      </c>
      <c r="P3">
        <v>4200</v>
      </c>
      <c r="Q3">
        <v>7</v>
      </c>
      <c r="R3">
        <v>0</v>
      </c>
      <c r="S3">
        <v>229</v>
      </c>
      <c r="T3">
        <v>389</v>
      </c>
      <c r="U3">
        <v>1</v>
      </c>
      <c r="V3">
        <v>1</v>
      </c>
      <c r="W3">
        <v>0</v>
      </c>
      <c r="X3">
        <v>7900</v>
      </c>
      <c r="Y3">
        <v>0</v>
      </c>
      <c r="Z3">
        <v>9856</v>
      </c>
      <c r="AA3" s="1">
        <v>0.288</v>
      </c>
      <c r="AB3">
        <v>215</v>
      </c>
      <c r="AC3" s="3">
        <v>0.0888888888888889</v>
      </c>
      <c r="AD3">
        <v>1</v>
      </c>
      <c r="AE3">
        <v>1516</v>
      </c>
      <c r="AF3">
        <v>6</v>
      </c>
      <c r="AG3">
        <v>250</v>
      </c>
      <c r="AH3">
        <v>3</v>
      </c>
      <c r="AI3">
        <v>2</v>
      </c>
    </row>
    <row r="4" spans="1:35">
      <c r="A4">
        <v>260517</v>
      </c>
      <c r="B4">
        <v>4</v>
      </c>
      <c r="C4" t="s">
        <v>83</v>
      </c>
      <c r="D4" t="s">
        <v>77</v>
      </c>
      <c r="E4">
        <v>35</v>
      </c>
      <c r="F4" s="6" t="s">
        <v>13</v>
      </c>
      <c r="G4">
        <v>10.5</v>
      </c>
      <c r="H4" t="s">
        <v>139</v>
      </c>
      <c r="I4">
        <v>1</v>
      </c>
      <c r="J4">
        <v>17</v>
      </c>
      <c r="K4">
        <v>6</v>
      </c>
      <c r="L4">
        <v>3</v>
      </c>
      <c r="M4">
        <v>3</v>
      </c>
      <c r="N4" s="1">
        <v>0.257</v>
      </c>
      <c r="O4" s="1">
        <v>0.143</v>
      </c>
      <c r="P4">
        <v>13559</v>
      </c>
      <c r="Q4">
        <v>273</v>
      </c>
      <c r="R4">
        <v>18</v>
      </c>
      <c r="S4">
        <v>655</v>
      </c>
      <c r="T4">
        <v>755</v>
      </c>
      <c r="U4">
        <v>1</v>
      </c>
      <c r="V4">
        <v>0</v>
      </c>
      <c r="W4">
        <v>0</v>
      </c>
      <c r="X4">
        <v>8045</v>
      </c>
      <c r="Y4">
        <v>2642</v>
      </c>
      <c r="Z4">
        <v>9024</v>
      </c>
      <c r="AA4" s="1">
        <v>0.394</v>
      </c>
      <c r="AB4">
        <v>494</v>
      </c>
      <c r="AC4" s="3">
        <v>0.0722222222222222</v>
      </c>
      <c r="AD4">
        <v>5</v>
      </c>
      <c r="AE4">
        <v>5445</v>
      </c>
      <c r="AF4">
        <v>8</v>
      </c>
      <c r="AG4">
        <v>0</v>
      </c>
      <c r="AH4">
        <v>4</v>
      </c>
      <c r="AI4">
        <v>0</v>
      </c>
    </row>
    <row r="5" spans="1:35">
      <c r="A5">
        <v>260517</v>
      </c>
      <c r="B5">
        <v>4</v>
      </c>
      <c r="C5" t="s">
        <v>83</v>
      </c>
      <c r="D5" t="s">
        <v>77</v>
      </c>
      <c r="E5">
        <v>35</v>
      </c>
      <c r="F5" s="6" t="s">
        <v>28</v>
      </c>
      <c r="G5">
        <v>5.5</v>
      </c>
      <c r="H5" t="s">
        <v>123</v>
      </c>
      <c r="I5">
        <v>4</v>
      </c>
      <c r="J5">
        <v>11</v>
      </c>
      <c r="K5">
        <v>6</v>
      </c>
      <c r="L5">
        <v>6</v>
      </c>
      <c r="M5">
        <v>12</v>
      </c>
      <c r="N5" s="1">
        <v>0.514</v>
      </c>
      <c r="O5" s="1">
        <v>0.128</v>
      </c>
      <c r="P5">
        <v>5556</v>
      </c>
      <c r="Q5">
        <v>15</v>
      </c>
      <c r="R5">
        <v>4</v>
      </c>
      <c r="S5">
        <v>290</v>
      </c>
      <c r="T5">
        <v>330</v>
      </c>
      <c r="U5">
        <v>0</v>
      </c>
      <c r="V5">
        <v>915</v>
      </c>
      <c r="W5">
        <v>0</v>
      </c>
      <c r="X5">
        <v>7182</v>
      </c>
      <c r="Y5">
        <v>318</v>
      </c>
      <c r="Z5">
        <v>16467</v>
      </c>
      <c r="AA5" s="1">
        <v>0.307</v>
      </c>
      <c r="AB5">
        <v>365</v>
      </c>
      <c r="AC5" s="3">
        <v>0.106944444444444</v>
      </c>
      <c r="AD5">
        <v>2</v>
      </c>
      <c r="AE5">
        <v>1905</v>
      </c>
      <c r="AF5">
        <v>6</v>
      </c>
      <c r="AG5">
        <v>350</v>
      </c>
      <c r="AH5">
        <v>3</v>
      </c>
      <c r="AI5">
        <v>5</v>
      </c>
    </row>
    <row r="6" spans="1:35">
      <c r="A6">
        <v>260517</v>
      </c>
      <c r="B6">
        <v>4</v>
      </c>
      <c r="C6" t="s">
        <v>83</v>
      </c>
      <c r="D6" t="s">
        <v>77</v>
      </c>
      <c r="E6">
        <v>35</v>
      </c>
      <c r="F6" s="6" t="s">
        <v>17</v>
      </c>
      <c r="G6">
        <v>7</v>
      </c>
      <c r="H6" t="s">
        <v>215</v>
      </c>
      <c r="I6">
        <v>2</v>
      </c>
      <c r="J6">
        <v>17</v>
      </c>
      <c r="K6">
        <v>4</v>
      </c>
      <c r="L6">
        <v>3</v>
      </c>
      <c r="M6">
        <v>12</v>
      </c>
      <c r="N6" s="1">
        <v>0.457</v>
      </c>
      <c r="O6" s="1">
        <v>0.255</v>
      </c>
      <c r="P6">
        <v>11136</v>
      </c>
      <c r="Q6">
        <v>153</v>
      </c>
      <c r="R6">
        <v>21</v>
      </c>
      <c r="S6">
        <v>518</v>
      </c>
      <c r="T6">
        <v>742</v>
      </c>
      <c r="U6">
        <v>2</v>
      </c>
      <c r="V6">
        <v>0</v>
      </c>
      <c r="W6">
        <v>0</v>
      </c>
      <c r="X6">
        <v>14357</v>
      </c>
      <c r="Y6">
        <v>2722</v>
      </c>
      <c r="Z6">
        <v>21823</v>
      </c>
      <c r="AA6" s="1">
        <v>0.377</v>
      </c>
      <c r="AB6">
        <v>428</v>
      </c>
      <c r="AC6" s="3">
        <v>0.0791666666666667</v>
      </c>
      <c r="AD6">
        <v>6</v>
      </c>
      <c r="AE6">
        <v>4023</v>
      </c>
      <c r="AF6">
        <v>8</v>
      </c>
      <c r="AG6">
        <v>50</v>
      </c>
      <c r="AH6">
        <v>0</v>
      </c>
      <c r="AI6">
        <v>1</v>
      </c>
    </row>
    <row r="7" spans="1:35">
      <c r="A7">
        <v>260517</v>
      </c>
      <c r="B7">
        <v>4</v>
      </c>
      <c r="C7" t="s">
        <v>76</v>
      </c>
      <c r="D7" t="s">
        <v>84</v>
      </c>
      <c r="E7">
        <v>20</v>
      </c>
      <c r="F7" s="6" t="s">
        <v>14</v>
      </c>
      <c r="G7">
        <v>9.5</v>
      </c>
      <c r="H7" t="s">
        <v>103</v>
      </c>
      <c r="I7">
        <v>2</v>
      </c>
      <c r="J7">
        <v>15</v>
      </c>
      <c r="K7">
        <v>8</v>
      </c>
      <c r="L7">
        <v>3</v>
      </c>
      <c r="M7">
        <v>4</v>
      </c>
      <c r="N7" s="1">
        <v>0.6</v>
      </c>
      <c r="O7" s="1">
        <v>0.347</v>
      </c>
      <c r="P7">
        <v>9630</v>
      </c>
      <c r="Q7">
        <v>91</v>
      </c>
      <c r="R7">
        <v>11</v>
      </c>
      <c r="S7">
        <v>457</v>
      </c>
      <c r="T7">
        <v>597</v>
      </c>
      <c r="U7">
        <v>3</v>
      </c>
      <c r="V7">
        <v>0</v>
      </c>
      <c r="W7">
        <v>0</v>
      </c>
      <c r="X7">
        <v>17908</v>
      </c>
      <c r="Y7">
        <v>220</v>
      </c>
      <c r="Z7">
        <v>22939</v>
      </c>
      <c r="AA7" s="1">
        <v>0.506</v>
      </c>
      <c r="AB7">
        <v>513</v>
      </c>
      <c r="AC7" s="3">
        <v>0.0798611111111111</v>
      </c>
      <c r="AD7">
        <v>10</v>
      </c>
      <c r="AE7">
        <v>4121</v>
      </c>
      <c r="AF7">
        <v>7</v>
      </c>
      <c r="AG7">
        <v>0</v>
      </c>
      <c r="AH7">
        <v>0</v>
      </c>
      <c r="AI7">
        <v>0</v>
      </c>
    </row>
    <row r="8" spans="1:35">
      <c r="A8">
        <v>260517</v>
      </c>
      <c r="B8">
        <v>4</v>
      </c>
      <c r="C8" t="s">
        <v>76</v>
      </c>
      <c r="D8" t="s">
        <v>84</v>
      </c>
      <c r="E8">
        <v>20</v>
      </c>
      <c r="F8" s="6" t="s">
        <v>25</v>
      </c>
      <c r="G8">
        <v>5</v>
      </c>
      <c r="H8" t="s">
        <v>79</v>
      </c>
      <c r="I8">
        <v>5</v>
      </c>
      <c r="J8">
        <v>10</v>
      </c>
      <c r="K8">
        <v>2</v>
      </c>
      <c r="L8">
        <v>9</v>
      </c>
      <c r="M8">
        <v>8</v>
      </c>
      <c r="N8" s="1">
        <v>0.5</v>
      </c>
      <c r="O8" s="1">
        <v>0.179</v>
      </c>
      <c r="P8">
        <v>3851</v>
      </c>
      <c r="Q8">
        <v>24</v>
      </c>
      <c r="R8">
        <v>0</v>
      </c>
      <c r="S8">
        <v>214</v>
      </c>
      <c r="T8">
        <v>280</v>
      </c>
      <c r="U8">
        <v>0</v>
      </c>
      <c r="V8">
        <v>0</v>
      </c>
      <c r="W8">
        <v>0</v>
      </c>
      <c r="X8">
        <v>9250</v>
      </c>
      <c r="Y8">
        <v>0</v>
      </c>
      <c r="Z8">
        <v>12830</v>
      </c>
      <c r="AA8" s="1">
        <v>0.299</v>
      </c>
      <c r="AB8">
        <v>447</v>
      </c>
      <c r="AC8" s="3">
        <v>0.147916666666667</v>
      </c>
      <c r="AD8">
        <v>3</v>
      </c>
      <c r="AE8">
        <v>1823</v>
      </c>
      <c r="AF8">
        <v>5</v>
      </c>
      <c r="AG8">
        <v>500</v>
      </c>
      <c r="AH8">
        <v>6</v>
      </c>
      <c r="AI8">
        <v>5</v>
      </c>
    </row>
    <row r="9" spans="1:35">
      <c r="A9">
        <v>260517</v>
      </c>
      <c r="B9">
        <v>4</v>
      </c>
      <c r="C9" t="s">
        <v>76</v>
      </c>
      <c r="D9" t="s">
        <v>84</v>
      </c>
      <c r="E9">
        <v>20</v>
      </c>
      <c r="F9" s="6" t="s">
        <v>36</v>
      </c>
      <c r="G9">
        <v>3.5</v>
      </c>
      <c r="H9" t="s">
        <v>130</v>
      </c>
      <c r="I9">
        <v>3</v>
      </c>
      <c r="J9">
        <v>10</v>
      </c>
      <c r="K9">
        <v>1</v>
      </c>
      <c r="L9">
        <v>8</v>
      </c>
      <c r="M9">
        <v>6</v>
      </c>
      <c r="N9" s="1">
        <v>0.35</v>
      </c>
      <c r="O9" s="1">
        <v>0.107</v>
      </c>
      <c r="P9">
        <v>5617</v>
      </c>
      <c r="Q9">
        <v>68</v>
      </c>
      <c r="R9">
        <v>1</v>
      </c>
      <c r="S9">
        <v>277</v>
      </c>
      <c r="T9">
        <v>319</v>
      </c>
      <c r="U9">
        <v>1</v>
      </c>
      <c r="V9">
        <v>0</v>
      </c>
      <c r="W9">
        <v>0</v>
      </c>
      <c r="X9">
        <v>5504</v>
      </c>
      <c r="Y9">
        <v>0</v>
      </c>
      <c r="Z9">
        <v>16632</v>
      </c>
      <c r="AA9" s="1">
        <v>0.411</v>
      </c>
      <c r="AB9">
        <v>637</v>
      </c>
      <c r="AC9" s="3">
        <v>0.146527777777778</v>
      </c>
      <c r="AD9">
        <v>7</v>
      </c>
      <c r="AE9">
        <v>2488</v>
      </c>
      <c r="AF9">
        <v>6</v>
      </c>
      <c r="AG9">
        <v>50</v>
      </c>
      <c r="AH9">
        <v>1</v>
      </c>
      <c r="AI9">
        <v>1</v>
      </c>
    </row>
    <row r="10" spans="1:35">
      <c r="A10">
        <v>260517</v>
      </c>
      <c r="B10">
        <v>4</v>
      </c>
      <c r="C10" t="s">
        <v>76</v>
      </c>
      <c r="D10" t="s">
        <v>84</v>
      </c>
      <c r="E10">
        <v>20</v>
      </c>
      <c r="F10" s="6" t="s">
        <v>18</v>
      </c>
      <c r="G10">
        <v>7.5</v>
      </c>
      <c r="H10" t="s">
        <v>234</v>
      </c>
      <c r="I10">
        <v>1</v>
      </c>
      <c r="J10">
        <v>14</v>
      </c>
      <c r="K10">
        <v>6</v>
      </c>
      <c r="L10">
        <v>6</v>
      </c>
      <c r="M10">
        <v>4</v>
      </c>
      <c r="N10" s="1">
        <v>0.5</v>
      </c>
      <c r="O10" s="1">
        <v>0.204</v>
      </c>
      <c r="P10">
        <v>9898</v>
      </c>
      <c r="Q10">
        <v>149</v>
      </c>
      <c r="R10">
        <v>7</v>
      </c>
      <c r="S10">
        <v>482</v>
      </c>
      <c r="T10">
        <v>575</v>
      </c>
      <c r="U10">
        <v>2</v>
      </c>
      <c r="V10">
        <v>0</v>
      </c>
      <c r="W10">
        <v>0</v>
      </c>
      <c r="X10">
        <v>10501</v>
      </c>
      <c r="Y10">
        <v>0</v>
      </c>
      <c r="Z10">
        <v>19696</v>
      </c>
      <c r="AA10" s="1">
        <v>0.416</v>
      </c>
      <c r="AB10">
        <v>895</v>
      </c>
      <c r="AC10" s="3">
        <v>0.127777777777778</v>
      </c>
      <c r="AD10">
        <v>8</v>
      </c>
      <c r="AE10">
        <v>4472</v>
      </c>
      <c r="AF10">
        <v>7</v>
      </c>
      <c r="AG10">
        <v>0</v>
      </c>
      <c r="AH10">
        <v>1</v>
      </c>
      <c r="AI10">
        <v>0</v>
      </c>
    </row>
    <row r="11" spans="1:35">
      <c r="A11">
        <v>260517</v>
      </c>
      <c r="B11">
        <v>4</v>
      </c>
      <c r="C11" t="s">
        <v>76</v>
      </c>
      <c r="D11" t="s">
        <v>84</v>
      </c>
      <c r="E11">
        <v>20</v>
      </c>
      <c r="F11" s="6" t="s">
        <v>20</v>
      </c>
      <c r="G11">
        <v>5.5</v>
      </c>
      <c r="H11" t="s">
        <v>126</v>
      </c>
      <c r="I11">
        <v>4</v>
      </c>
      <c r="J11">
        <v>9</v>
      </c>
      <c r="K11">
        <v>3</v>
      </c>
      <c r="L11">
        <v>9</v>
      </c>
      <c r="M11">
        <v>12</v>
      </c>
      <c r="N11" s="1">
        <v>0.75</v>
      </c>
      <c r="O11" s="1">
        <v>0.163</v>
      </c>
      <c r="P11">
        <v>4600</v>
      </c>
      <c r="Q11">
        <v>15</v>
      </c>
      <c r="R11">
        <v>0</v>
      </c>
      <c r="S11">
        <v>228</v>
      </c>
      <c r="T11">
        <v>261</v>
      </c>
      <c r="U11">
        <v>2</v>
      </c>
      <c r="V11">
        <v>0</v>
      </c>
      <c r="W11">
        <v>0</v>
      </c>
      <c r="X11">
        <v>8392</v>
      </c>
      <c r="Y11">
        <v>0</v>
      </c>
      <c r="Z11">
        <v>21887</v>
      </c>
      <c r="AA11" s="1">
        <v>0.333</v>
      </c>
      <c r="AB11">
        <v>495</v>
      </c>
      <c r="AC11" s="3">
        <v>0.164583333333333</v>
      </c>
      <c r="AD11">
        <v>4</v>
      </c>
      <c r="AE11">
        <v>2139</v>
      </c>
      <c r="AF11">
        <v>5</v>
      </c>
      <c r="AG11">
        <v>250</v>
      </c>
      <c r="AH11">
        <v>1</v>
      </c>
      <c r="AI11">
        <v>1</v>
      </c>
    </row>
    <row r="14" spans="1:35">
      <c r="A14" t="s">
        <v>90</v>
      </c>
      <c r="B14" s="4">
        <v>8814946550</v>
      </c>
      <c r="C14" s="4"/>
    </row>
    <row r="15" spans="1:35">
      <c r="A15" t="s">
        <v>91</v>
      </c>
      <c r="B15" s="5" t="s">
        <v>235</v>
      </c>
    </row>
  </sheetData>
  <mergeCells count="1">
    <mergeCell ref="B14:C14"/>
  </mergeCell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14" sqref="A14:C15"/>
    </sheetView>
  </sheetViews>
  <sheetFormatPr defaultColWidth="9.23076923076923" defaultRowHeight="16.8"/>
  <cols>
    <col min="6" max="6" width="8.15384615384615" customWidth="1"/>
  </cols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260519</v>
      </c>
      <c r="B2">
        <v>1</v>
      </c>
      <c r="C2" t="s">
        <v>83</v>
      </c>
      <c r="D2" t="s">
        <v>77</v>
      </c>
      <c r="E2">
        <v>26</v>
      </c>
      <c r="F2" t="s">
        <v>30</v>
      </c>
      <c r="G2">
        <f>VLOOKUP(F2,选手工资!$A:$T,13,FALSE)</f>
        <v>4.5</v>
      </c>
      <c r="H2" t="s">
        <v>192</v>
      </c>
      <c r="I2">
        <v>2</v>
      </c>
      <c r="J2">
        <v>16</v>
      </c>
      <c r="K2">
        <v>10</v>
      </c>
      <c r="L2">
        <v>3</v>
      </c>
      <c r="M2">
        <v>8</v>
      </c>
      <c r="N2" s="1">
        <v>0.692</v>
      </c>
      <c r="O2" s="1">
        <v>0.33</v>
      </c>
      <c r="P2">
        <v>11060</v>
      </c>
      <c r="Q2">
        <v>159</v>
      </c>
      <c r="R2">
        <v>3</v>
      </c>
      <c r="S2">
        <v>554</v>
      </c>
      <c r="T2">
        <v>726</v>
      </c>
      <c r="U2">
        <v>3</v>
      </c>
      <c r="V2">
        <v>0</v>
      </c>
      <c r="W2">
        <v>0</v>
      </c>
      <c r="X2">
        <v>15406</v>
      </c>
      <c r="Y2">
        <v>855</v>
      </c>
      <c r="Z2">
        <v>14091</v>
      </c>
      <c r="AA2" s="1">
        <v>0.399</v>
      </c>
      <c r="AB2">
        <v>91</v>
      </c>
      <c r="AC2" s="3">
        <v>0.0381944444444444</v>
      </c>
      <c r="AD2">
        <v>5</v>
      </c>
      <c r="AE2">
        <v>3474</v>
      </c>
      <c r="AF2">
        <v>8</v>
      </c>
      <c r="AG2">
        <v>130</v>
      </c>
      <c r="AH2">
        <v>0</v>
      </c>
      <c r="AI2">
        <v>0</v>
      </c>
    </row>
    <row r="3" spans="1:35">
      <c r="A3">
        <v>260519</v>
      </c>
      <c r="B3">
        <v>1</v>
      </c>
      <c r="C3" t="s">
        <v>83</v>
      </c>
      <c r="D3" t="s">
        <v>77</v>
      </c>
      <c r="E3">
        <v>26</v>
      </c>
      <c r="F3" t="s">
        <v>29</v>
      </c>
      <c r="G3">
        <f>VLOOKUP(F3,选手工资!$A:$T,13,FALSE)</f>
        <v>4.5</v>
      </c>
      <c r="H3" t="s">
        <v>80</v>
      </c>
      <c r="I3">
        <v>3</v>
      </c>
      <c r="J3">
        <v>14</v>
      </c>
      <c r="K3">
        <v>2</v>
      </c>
      <c r="L3">
        <v>1</v>
      </c>
      <c r="M3">
        <v>13</v>
      </c>
      <c r="N3" s="1">
        <v>0.577</v>
      </c>
      <c r="O3" s="1">
        <v>0.135</v>
      </c>
      <c r="P3">
        <v>9423</v>
      </c>
      <c r="Q3">
        <v>155</v>
      </c>
      <c r="R3">
        <v>7</v>
      </c>
      <c r="S3">
        <v>464</v>
      </c>
      <c r="T3">
        <v>539</v>
      </c>
      <c r="U3">
        <v>3</v>
      </c>
      <c r="V3">
        <v>1609</v>
      </c>
      <c r="W3">
        <v>0</v>
      </c>
      <c r="X3">
        <v>6290</v>
      </c>
      <c r="Y3">
        <v>653</v>
      </c>
      <c r="Z3">
        <v>10192</v>
      </c>
      <c r="AA3" s="1">
        <v>0.327</v>
      </c>
      <c r="AB3">
        <v>146</v>
      </c>
      <c r="AC3" s="3">
        <v>0.0243055555555556</v>
      </c>
      <c r="AD3">
        <v>6</v>
      </c>
      <c r="AE3">
        <v>4548</v>
      </c>
      <c r="AF3">
        <v>7</v>
      </c>
      <c r="AG3">
        <v>0</v>
      </c>
      <c r="AH3">
        <v>1</v>
      </c>
      <c r="AI3">
        <v>0</v>
      </c>
    </row>
    <row r="4" spans="1:35">
      <c r="A4">
        <v>260519</v>
      </c>
      <c r="B4">
        <v>1</v>
      </c>
      <c r="C4" t="s">
        <v>83</v>
      </c>
      <c r="D4" t="s">
        <v>77</v>
      </c>
      <c r="E4">
        <v>26</v>
      </c>
      <c r="F4" t="s">
        <v>25</v>
      </c>
      <c r="G4">
        <f>VLOOKUP(F4,选手工资!$A:$T,13,FALSE)</f>
        <v>4.5</v>
      </c>
      <c r="H4" t="s">
        <v>88</v>
      </c>
      <c r="I4">
        <v>4</v>
      </c>
      <c r="J4">
        <v>14</v>
      </c>
      <c r="K4">
        <v>4</v>
      </c>
      <c r="L4">
        <v>0</v>
      </c>
      <c r="M4">
        <v>15</v>
      </c>
      <c r="N4" s="1">
        <v>0.731</v>
      </c>
      <c r="O4" s="1">
        <v>0.173</v>
      </c>
      <c r="P4">
        <v>6332</v>
      </c>
      <c r="Q4">
        <v>49</v>
      </c>
      <c r="R4">
        <v>0</v>
      </c>
      <c r="S4">
        <v>322</v>
      </c>
      <c r="T4">
        <v>529</v>
      </c>
      <c r="U4">
        <v>0</v>
      </c>
      <c r="V4">
        <v>400</v>
      </c>
      <c r="W4">
        <v>0</v>
      </c>
      <c r="X4">
        <v>8058</v>
      </c>
      <c r="Y4">
        <v>504</v>
      </c>
      <c r="Z4">
        <v>6437</v>
      </c>
      <c r="AA4" s="1">
        <v>0.274</v>
      </c>
      <c r="AB4">
        <v>0</v>
      </c>
      <c r="AC4" s="3">
        <v>0</v>
      </c>
      <c r="AD4">
        <v>1</v>
      </c>
      <c r="AE4">
        <v>2149</v>
      </c>
      <c r="AF4">
        <v>6</v>
      </c>
      <c r="AG4">
        <v>550</v>
      </c>
      <c r="AH4">
        <v>3</v>
      </c>
      <c r="AI4">
        <v>1</v>
      </c>
    </row>
    <row r="5" spans="1:35">
      <c r="A5">
        <v>260519</v>
      </c>
      <c r="B5">
        <v>1</v>
      </c>
      <c r="C5" t="s">
        <v>83</v>
      </c>
      <c r="D5" t="s">
        <v>77</v>
      </c>
      <c r="E5">
        <v>26</v>
      </c>
      <c r="F5" t="s">
        <v>15</v>
      </c>
      <c r="G5">
        <f>VLOOKUP(F5,选手工资!$A:$T,13,FALSE)</f>
        <v>8</v>
      </c>
      <c r="H5" t="s">
        <v>118</v>
      </c>
      <c r="I5">
        <v>1</v>
      </c>
      <c r="J5">
        <v>16</v>
      </c>
      <c r="K5">
        <v>6</v>
      </c>
      <c r="L5">
        <v>0</v>
      </c>
      <c r="M5">
        <v>8</v>
      </c>
      <c r="N5" s="1">
        <v>0.538</v>
      </c>
      <c r="O5" s="1">
        <v>0.2</v>
      </c>
      <c r="P5">
        <v>12556</v>
      </c>
      <c r="Q5">
        <v>184</v>
      </c>
      <c r="R5">
        <v>11</v>
      </c>
      <c r="S5">
        <v>598</v>
      </c>
      <c r="T5">
        <v>709</v>
      </c>
      <c r="U5">
        <v>1</v>
      </c>
      <c r="V5">
        <v>0</v>
      </c>
      <c r="W5">
        <v>0</v>
      </c>
      <c r="X5">
        <v>9314</v>
      </c>
      <c r="Y5">
        <v>527</v>
      </c>
      <c r="Z5">
        <v>15442</v>
      </c>
      <c r="AA5" s="1">
        <v>0.293</v>
      </c>
      <c r="AB5">
        <v>0</v>
      </c>
      <c r="AC5" s="3">
        <v>0</v>
      </c>
      <c r="AD5">
        <v>9</v>
      </c>
      <c r="AE5">
        <v>4411</v>
      </c>
      <c r="AF5">
        <v>6</v>
      </c>
      <c r="AG5">
        <v>80</v>
      </c>
      <c r="AH5">
        <v>1</v>
      </c>
      <c r="AI5">
        <v>0</v>
      </c>
    </row>
    <row r="6" spans="1:35">
      <c r="A6">
        <v>260519</v>
      </c>
      <c r="B6">
        <v>1</v>
      </c>
      <c r="C6" t="s">
        <v>83</v>
      </c>
      <c r="D6" t="s">
        <v>77</v>
      </c>
      <c r="E6">
        <v>26</v>
      </c>
      <c r="F6" t="s">
        <v>23</v>
      </c>
      <c r="G6">
        <f>VLOOKUP(F6,选手工资!$A:$T,13,FALSE)</f>
        <v>6.5</v>
      </c>
      <c r="H6" t="s">
        <v>140</v>
      </c>
      <c r="I6">
        <v>5</v>
      </c>
      <c r="J6">
        <v>12</v>
      </c>
      <c r="K6">
        <v>3</v>
      </c>
      <c r="L6">
        <v>3</v>
      </c>
      <c r="M6">
        <v>10</v>
      </c>
      <c r="N6" s="1">
        <v>0.5</v>
      </c>
      <c r="O6" s="1">
        <v>0.162</v>
      </c>
      <c r="P6">
        <v>6136</v>
      </c>
      <c r="Q6">
        <v>64</v>
      </c>
      <c r="R6">
        <v>3</v>
      </c>
      <c r="S6">
        <v>320</v>
      </c>
      <c r="T6">
        <v>426</v>
      </c>
      <c r="U6">
        <v>0</v>
      </c>
      <c r="V6">
        <v>125</v>
      </c>
      <c r="W6">
        <v>0</v>
      </c>
      <c r="X6">
        <v>7573</v>
      </c>
      <c r="Y6">
        <v>211</v>
      </c>
      <c r="Z6">
        <v>9137</v>
      </c>
      <c r="AA6" s="1">
        <v>0.382</v>
      </c>
      <c r="AB6">
        <v>247</v>
      </c>
      <c r="AC6" s="3">
        <v>0.0631944444444444</v>
      </c>
      <c r="AD6">
        <v>2</v>
      </c>
      <c r="AE6">
        <v>2137</v>
      </c>
      <c r="AF6">
        <v>6</v>
      </c>
      <c r="AG6">
        <v>380</v>
      </c>
      <c r="AH6">
        <v>4</v>
      </c>
      <c r="AI6">
        <v>2</v>
      </c>
    </row>
    <row r="7" spans="1:35">
      <c r="A7">
        <v>260519</v>
      </c>
      <c r="B7">
        <v>1</v>
      </c>
      <c r="C7" t="s">
        <v>76</v>
      </c>
      <c r="D7" t="s">
        <v>84</v>
      </c>
      <c r="E7">
        <v>7</v>
      </c>
      <c r="F7" t="s">
        <v>14</v>
      </c>
      <c r="G7">
        <f>VLOOKUP(F7,选手工资!$A:$T,13,FALSE)</f>
        <v>9.5</v>
      </c>
      <c r="H7" t="s">
        <v>96</v>
      </c>
      <c r="I7">
        <v>2</v>
      </c>
      <c r="J7">
        <v>13</v>
      </c>
      <c r="K7">
        <v>4</v>
      </c>
      <c r="L7">
        <v>6</v>
      </c>
      <c r="M7">
        <v>2</v>
      </c>
      <c r="N7" s="1">
        <v>0.857</v>
      </c>
      <c r="O7" s="1">
        <v>0.255</v>
      </c>
      <c r="P7">
        <v>7850</v>
      </c>
      <c r="Q7">
        <v>128</v>
      </c>
      <c r="R7">
        <v>12</v>
      </c>
      <c r="S7">
        <v>429</v>
      </c>
      <c r="T7">
        <v>479</v>
      </c>
      <c r="U7">
        <v>2</v>
      </c>
      <c r="V7">
        <v>997</v>
      </c>
      <c r="W7">
        <v>0</v>
      </c>
      <c r="X7">
        <v>9381</v>
      </c>
      <c r="Y7">
        <v>252</v>
      </c>
      <c r="Z7">
        <v>19885</v>
      </c>
      <c r="AA7" s="1">
        <v>0.319</v>
      </c>
      <c r="AB7">
        <v>865</v>
      </c>
      <c r="AC7" s="3">
        <v>0.147916666666667</v>
      </c>
      <c r="AD7">
        <v>10</v>
      </c>
      <c r="AE7">
        <v>4620</v>
      </c>
      <c r="AF7">
        <v>8</v>
      </c>
      <c r="AG7">
        <v>0</v>
      </c>
      <c r="AH7">
        <v>0</v>
      </c>
      <c r="AI7">
        <v>0</v>
      </c>
    </row>
    <row r="8" spans="1:35">
      <c r="A8">
        <v>260519</v>
      </c>
      <c r="B8">
        <v>1</v>
      </c>
      <c r="C8" t="s">
        <v>76</v>
      </c>
      <c r="D8" t="s">
        <v>84</v>
      </c>
      <c r="E8">
        <v>7</v>
      </c>
      <c r="F8" t="s">
        <v>28</v>
      </c>
      <c r="G8">
        <f>VLOOKUP(F8,选手工资!$A:$T,13,FALSE)</f>
        <v>6</v>
      </c>
      <c r="H8" t="s">
        <v>157</v>
      </c>
      <c r="I8">
        <v>1</v>
      </c>
      <c r="J8">
        <v>12</v>
      </c>
      <c r="K8">
        <v>2</v>
      </c>
      <c r="L8">
        <v>5</v>
      </c>
      <c r="M8">
        <v>0</v>
      </c>
      <c r="N8" s="1">
        <v>0.286</v>
      </c>
      <c r="O8" s="1">
        <v>0.174</v>
      </c>
      <c r="P8">
        <v>6840</v>
      </c>
      <c r="Q8">
        <v>119</v>
      </c>
      <c r="R8">
        <v>11</v>
      </c>
      <c r="S8">
        <v>340</v>
      </c>
      <c r="T8">
        <v>399</v>
      </c>
      <c r="U8">
        <v>2</v>
      </c>
      <c r="V8">
        <v>0</v>
      </c>
      <c r="W8">
        <v>0</v>
      </c>
      <c r="X8">
        <v>6402</v>
      </c>
      <c r="Y8">
        <v>0</v>
      </c>
      <c r="Z8">
        <v>12406</v>
      </c>
      <c r="AA8" s="1">
        <v>0.384</v>
      </c>
      <c r="AB8">
        <v>557</v>
      </c>
      <c r="AC8" s="3">
        <v>0.0777777777777778</v>
      </c>
      <c r="AD8">
        <v>7</v>
      </c>
      <c r="AE8">
        <v>3978</v>
      </c>
      <c r="AF8">
        <v>7</v>
      </c>
      <c r="AG8">
        <v>0</v>
      </c>
      <c r="AH8">
        <v>1</v>
      </c>
      <c r="AI8">
        <v>0</v>
      </c>
    </row>
    <row r="9" spans="1:35">
      <c r="A9">
        <v>260519</v>
      </c>
      <c r="B9">
        <v>1</v>
      </c>
      <c r="C9" t="s">
        <v>76</v>
      </c>
      <c r="D9" t="s">
        <v>84</v>
      </c>
      <c r="E9">
        <v>7</v>
      </c>
      <c r="F9" t="s">
        <v>24</v>
      </c>
      <c r="G9">
        <f>VLOOKUP(F9,选手工资!$A:$T,13,FALSE)</f>
        <v>6.5</v>
      </c>
      <c r="H9" t="s">
        <v>236</v>
      </c>
      <c r="I9">
        <v>5</v>
      </c>
      <c r="J9">
        <v>8</v>
      </c>
      <c r="K9">
        <v>0</v>
      </c>
      <c r="L9">
        <v>4</v>
      </c>
      <c r="M9">
        <v>3</v>
      </c>
      <c r="N9" s="1">
        <v>0.429</v>
      </c>
      <c r="O9" s="1">
        <v>0.161</v>
      </c>
      <c r="P9">
        <v>3063</v>
      </c>
      <c r="Q9">
        <v>15</v>
      </c>
      <c r="R9">
        <v>1</v>
      </c>
      <c r="S9">
        <v>164</v>
      </c>
      <c r="T9">
        <v>227</v>
      </c>
      <c r="U9">
        <v>0</v>
      </c>
      <c r="V9">
        <v>0</v>
      </c>
      <c r="W9">
        <v>0</v>
      </c>
      <c r="X9">
        <v>5918</v>
      </c>
      <c r="Y9">
        <v>0</v>
      </c>
      <c r="Z9">
        <v>10216</v>
      </c>
      <c r="AA9" s="1">
        <v>0.323</v>
      </c>
      <c r="AB9">
        <v>170</v>
      </c>
      <c r="AC9" s="3">
        <v>0.0770833333333333</v>
      </c>
      <c r="AD9">
        <v>4</v>
      </c>
      <c r="AE9">
        <v>1550</v>
      </c>
      <c r="AF9">
        <v>5</v>
      </c>
      <c r="AG9">
        <v>600</v>
      </c>
      <c r="AH9">
        <v>4</v>
      </c>
      <c r="AI9">
        <v>6</v>
      </c>
    </row>
    <row r="10" spans="1:35">
      <c r="A10">
        <v>260519</v>
      </c>
      <c r="B10">
        <v>1</v>
      </c>
      <c r="C10" t="s">
        <v>76</v>
      </c>
      <c r="D10" t="s">
        <v>84</v>
      </c>
      <c r="E10">
        <v>7</v>
      </c>
      <c r="F10" t="s">
        <v>36</v>
      </c>
      <c r="G10">
        <f>VLOOKUP(F10,选手工资!$A:$T,13,FALSE)</f>
        <v>3</v>
      </c>
      <c r="H10" t="s">
        <v>206</v>
      </c>
      <c r="I10">
        <v>3</v>
      </c>
      <c r="J10">
        <v>12</v>
      </c>
      <c r="K10">
        <v>0</v>
      </c>
      <c r="L10">
        <v>5</v>
      </c>
      <c r="M10">
        <v>3</v>
      </c>
      <c r="N10" s="1">
        <v>0.429</v>
      </c>
      <c r="O10" s="1">
        <v>0.281</v>
      </c>
      <c r="P10">
        <v>7221</v>
      </c>
      <c r="Q10">
        <v>139</v>
      </c>
      <c r="R10">
        <v>3</v>
      </c>
      <c r="S10">
        <v>372</v>
      </c>
      <c r="T10">
        <v>460</v>
      </c>
      <c r="U10">
        <v>1</v>
      </c>
      <c r="V10">
        <v>0</v>
      </c>
      <c r="W10">
        <v>0</v>
      </c>
      <c r="X10">
        <v>10328</v>
      </c>
      <c r="Y10">
        <v>0</v>
      </c>
      <c r="Z10">
        <v>17366</v>
      </c>
      <c r="AA10" s="1">
        <v>0.484</v>
      </c>
      <c r="AB10">
        <v>538</v>
      </c>
      <c r="AC10" s="3">
        <v>0.111805555555556</v>
      </c>
      <c r="AD10">
        <v>8</v>
      </c>
      <c r="AE10">
        <v>3657</v>
      </c>
      <c r="AF10">
        <v>7</v>
      </c>
      <c r="AG10">
        <v>0</v>
      </c>
      <c r="AH10">
        <v>2</v>
      </c>
      <c r="AI10">
        <v>1</v>
      </c>
    </row>
    <row r="11" spans="1:35">
      <c r="A11">
        <v>260519</v>
      </c>
      <c r="B11">
        <v>1</v>
      </c>
      <c r="C11" t="s">
        <v>76</v>
      </c>
      <c r="D11" t="s">
        <v>84</v>
      </c>
      <c r="E11">
        <v>7</v>
      </c>
      <c r="F11" t="s">
        <v>41</v>
      </c>
      <c r="G11">
        <f>VLOOKUP(F11,选手工资!$A:$T,13,FALSE)</f>
        <v>2.5</v>
      </c>
      <c r="H11" t="s">
        <v>170</v>
      </c>
      <c r="I11">
        <v>4</v>
      </c>
      <c r="J11">
        <v>8</v>
      </c>
      <c r="K11">
        <v>1</v>
      </c>
      <c r="L11">
        <v>6</v>
      </c>
      <c r="M11">
        <v>2</v>
      </c>
      <c r="N11" s="1">
        <v>0.429</v>
      </c>
      <c r="O11" s="1">
        <v>0.13</v>
      </c>
      <c r="P11">
        <v>3279</v>
      </c>
      <c r="Q11">
        <v>12</v>
      </c>
      <c r="R11">
        <v>0</v>
      </c>
      <c r="S11">
        <v>179</v>
      </c>
      <c r="T11">
        <v>222</v>
      </c>
      <c r="U11">
        <v>2</v>
      </c>
      <c r="V11">
        <v>0</v>
      </c>
      <c r="W11">
        <v>0</v>
      </c>
      <c r="X11">
        <v>4780</v>
      </c>
      <c r="Y11">
        <v>0</v>
      </c>
      <c r="Z11">
        <v>14747</v>
      </c>
      <c r="AA11" s="1">
        <v>0.35</v>
      </c>
      <c r="AB11">
        <v>325</v>
      </c>
      <c r="AC11" s="3">
        <v>0.0944444444444444</v>
      </c>
      <c r="AD11">
        <v>3</v>
      </c>
      <c r="AE11">
        <v>1885</v>
      </c>
      <c r="AF11">
        <v>5</v>
      </c>
      <c r="AG11">
        <v>150</v>
      </c>
      <c r="AH11">
        <v>3</v>
      </c>
      <c r="AI11">
        <v>2</v>
      </c>
    </row>
    <row r="14" spans="1:35">
      <c r="A14" t="s">
        <v>90</v>
      </c>
      <c r="B14" s="4">
        <v>8817194792</v>
      </c>
      <c r="C14" s="4"/>
    </row>
    <row r="15" spans="1:35">
      <c r="A15" t="s">
        <v>91</v>
      </c>
      <c r="B15" s="5" t="s">
        <v>237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14" sqref="A14:C15"/>
    </sheetView>
  </sheetViews>
  <sheetFormatPr defaultColWidth="9.23076923076923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260519</v>
      </c>
      <c r="B2">
        <v>2</v>
      </c>
      <c r="C2" t="s">
        <v>83</v>
      </c>
      <c r="D2" t="s">
        <v>77</v>
      </c>
      <c r="E2">
        <v>44</v>
      </c>
      <c r="F2" t="s">
        <v>30</v>
      </c>
      <c r="G2">
        <f>VLOOKUP(F2,选手工资!$A:$T,13,FALSE)</f>
        <v>4.5</v>
      </c>
      <c r="H2" t="s">
        <v>102</v>
      </c>
      <c r="I2">
        <v>2</v>
      </c>
      <c r="J2">
        <v>27</v>
      </c>
      <c r="K2">
        <v>14</v>
      </c>
      <c r="L2">
        <v>11</v>
      </c>
      <c r="M2">
        <v>14</v>
      </c>
      <c r="N2" s="1">
        <v>0.636</v>
      </c>
      <c r="O2" s="1">
        <v>0.37</v>
      </c>
      <c r="P2" s="2">
        <v>29406</v>
      </c>
      <c r="Q2">
        <v>404</v>
      </c>
      <c r="R2">
        <v>2</v>
      </c>
      <c r="S2">
        <v>750</v>
      </c>
      <c r="T2" s="2">
        <v>1126</v>
      </c>
      <c r="U2">
        <v>4</v>
      </c>
      <c r="V2">
        <v>0</v>
      </c>
      <c r="W2">
        <v>0</v>
      </c>
      <c r="X2" s="2">
        <v>50340</v>
      </c>
      <c r="Y2" s="2">
        <v>7738</v>
      </c>
      <c r="Z2" s="2">
        <v>51067</v>
      </c>
      <c r="AA2" s="1">
        <v>0.487</v>
      </c>
      <c r="AB2" s="2">
        <v>1514</v>
      </c>
      <c r="AC2" s="3">
        <v>0.293055555555556</v>
      </c>
      <c r="AD2">
        <v>9</v>
      </c>
      <c r="AE2" s="2">
        <v>3539</v>
      </c>
      <c r="AF2">
        <v>8</v>
      </c>
      <c r="AG2">
        <v>100</v>
      </c>
      <c r="AH2">
        <v>1</v>
      </c>
      <c r="AI2">
        <v>2</v>
      </c>
    </row>
    <row r="3" spans="1:35">
      <c r="A3">
        <v>260519</v>
      </c>
      <c r="B3">
        <v>2</v>
      </c>
      <c r="C3" t="s">
        <v>83</v>
      </c>
      <c r="D3" t="s">
        <v>77</v>
      </c>
      <c r="E3">
        <v>44</v>
      </c>
      <c r="F3" t="s">
        <v>17</v>
      </c>
      <c r="G3">
        <f>VLOOKUP(F3,选手工资!$A:$T,13,FALSE)</f>
        <v>6.5</v>
      </c>
      <c r="H3" t="s">
        <v>118</v>
      </c>
      <c r="I3">
        <v>1</v>
      </c>
      <c r="J3">
        <v>28</v>
      </c>
      <c r="K3">
        <v>11</v>
      </c>
      <c r="L3">
        <v>3</v>
      </c>
      <c r="M3">
        <v>15</v>
      </c>
      <c r="N3" s="1">
        <v>0.591</v>
      </c>
      <c r="O3" s="1">
        <v>0.174</v>
      </c>
      <c r="P3" s="2">
        <v>30590</v>
      </c>
      <c r="Q3">
        <v>448</v>
      </c>
      <c r="R3">
        <v>14</v>
      </c>
      <c r="S3">
        <v>748</v>
      </c>
      <c r="T3" s="2">
        <v>1279</v>
      </c>
      <c r="U3">
        <v>0</v>
      </c>
      <c r="V3">
        <v>0</v>
      </c>
      <c r="W3">
        <v>1</v>
      </c>
      <c r="X3" s="2">
        <v>23595</v>
      </c>
      <c r="Y3" s="2">
        <v>9639</v>
      </c>
      <c r="Z3" s="2">
        <v>51880</v>
      </c>
      <c r="AA3" s="1">
        <v>0.377</v>
      </c>
      <c r="AB3">
        <v>587</v>
      </c>
      <c r="AC3" s="3">
        <v>0.0895833333333333</v>
      </c>
      <c r="AD3">
        <v>6</v>
      </c>
      <c r="AE3" s="2">
        <v>4273</v>
      </c>
      <c r="AF3">
        <v>7</v>
      </c>
      <c r="AG3">
        <v>50</v>
      </c>
      <c r="AH3">
        <v>2</v>
      </c>
      <c r="AI3">
        <v>1</v>
      </c>
    </row>
    <row r="4" spans="1:35">
      <c r="A4">
        <v>260519</v>
      </c>
      <c r="B4">
        <v>2</v>
      </c>
      <c r="C4" t="s">
        <v>83</v>
      </c>
      <c r="D4" t="s">
        <v>77</v>
      </c>
      <c r="E4">
        <v>44</v>
      </c>
      <c r="F4" t="s">
        <v>14</v>
      </c>
      <c r="G4">
        <f>VLOOKUP(F4,选手工资!$A:$T,13,FALSE)</f>
        <v>9.5</v>
      </c>
      <c r="H4" t="s">
        <v>119</v>
      </c>
      <c r="I4">
        <v>3</v>
      </c>
      <c r="J4">
        <v>25</v>
      </c>
      <c r="K4">
        <v>13</v>
      </c>
      <c r="L4">
        <v>5</v>
      </c>
      <c r="M4">
        <v>22</v>
      </c>
      <c r="N4" s="1">
        <v>0.795</v>
      </c>
      <c r="O4" s="1">
        <v>0.274</v>
      </c>
      <c r="P4" s="2">
        <v>29186</v>
      </c>
      <c r="Q4">
        <v>228</v>
      </c>
      <c r="R4">
        <v>26</v>
      </c>
      <c r="S4">
        <v>735</v>
      </c>
      <c r="T4">
        <v>920</v>
      </c>
      <c r="U4">
        <v>3</v>
      </c>
      <c r="V4">
        <v>0</v>
      </c>
      <c r="W4">
        <v>0</v>
      </c>
      <c r="X4" s="2">
        <v>37304</v>
      </c>
      <c r="Y4" s="2">
        <v>3238</v>
      </c>
      <c r="Z4" s="2">
        <v>61778</v>
      </c>
      <c r="AA4" s="1">
        <v>0.434</v>
      </c>
      <c r="AB4" s="2">
        <v>1124</v>
      </c>
      <c r="AC4" s="3">
        <v>0.148611111111111</v>
      </c>
      <c r="AD4">
        <v>5</v>
      </c>
      <c r="AE4" s="2">
        <v>4291</v>
      </c>
      <c r="AF4">
        <v>6</v>
      </c>
      <c r="AG4">
        <v>0</v>
      </c>
      <c r="AH4">
        <v>0</v>
      </c>
      <c r="AI4">
        <v>1</v>
      </c>
    </row>
    <row r="5" spans="1:35">
      <c r="A5">
        <v>260519</v>
      </c>
      <c r="B5">
        <v>2</v>
      </c>
      <c r="C5" t="s">
        <v>83</v>
      </c>
      <c r="D5" t="s">
        <v>77</v>
      </c>
      <c r="E5">
        <v>44</v>
      </c>
      <c r="F5" t="s">
        <v>24</v>
      </c>
      <c r="G5">
        <f>VLOOKUP(F5,选手工资!$A:$T,13,FALSE)</f>
        <v>6.5</v>
      </c>
      <c r="H5" t="s">
        <v>153</v>
      </c>
      <c r="I5">
        <v>5</v>
      </c>
      <c r="J5">
        <v>20</v>
      </c>
      <c r="K5">
        <v>4</v>
      </c>
      <c r="L5">
        <v>10</v>
      </c>
      <c r="M5">
        <v>26</v>
      </c>
      <c r="N5" s="1">
        <v>0.682</v>
      </c>
      <c r="O5" s="1">
        <v>0.108</v>
      </c>
      <c r="P5" s="2">
        <v>12339</v>
      </c>
      <c r="Q5">
        <v>30</v>
      </c>
      <c r="R5">
        <v>0</v>
      </c>
      <c r="S5">
        <v>340</v>
      </c>
      <c r="T5">
        <v>532</v>
      </c>
      <c r="U5">
        <v>0</v>
      </c>
      <c r="V5">
        <v>0</v>
      </c>
      <c r="W5">
        <v>0</v>
      </c>
      <c r="X5" s="2">
        <v>14685</v>
      </c>
      <c r="Y5" s="2">
        <v>1527</v>
      </c>
      <c r="Z5" s="2">
        <v>34927</v>
      </c>
      <c r="AA5" s="1">
        <v>0.419</v>
      </c>
      <c r="AB5">
        <v>905</v>
      </c>
      <c r="AC5" s="3">
        <v>0.225694444444444</v>
      </c>
      <c r="AD5">
        <v>1</v>
      </c>
      <c r="AE5" s="2">
        <v>1421</v>
      </c>
      <c r="AF5">
        <v>5</v>
      </c>
      <c r="AG5">
        <v>700</v>
      </c>
      <c r="AH5">
        <v>0</v>
      </c>
      <c r="AI5">
        <v>4</v>
      </c>
    </row>
    <row r="6" spans="1:35">
      <c r="A6">
        <v>260519</v>
      </c>
      <c r="B6">
        <v>2</v>
      </c>
      <c r="C6" t="s">
        <v>83</v>
      </c>
      <c r="D6" t="s">
        <v>77</v>
      </c>
      <c r="E6">
        <v>44</v>
      </c>
      <c r="F6" t="s">
        <v>41</v>
      </c>
      <c r="G6">
        <f>VLOOKUP(F6,选手工资!$A:$T,13,FALSE)</f>
        <v>2.5</v>
      </c>
      <c r="H6" t="s">
        <v>94</v>
      </c>
      <c r="I6">
        <v>4</v>
      </c>
      <c r="J6">
        <v>17</v>
      </c>
      <c r="K6">
        <v>1</v>
      </c>
      <c r="L6">
        <v>11</v>
      </c>
      <c r="M6">
        <v>25</v>
      </c>
      <c r="N6" s="1">
        <v>0.591</v>
      </c>
      <c r="O6" s="1">
        <v>0.073</v>
      </c>
      <c r="P6" s="2">
        <v>11941</v>
      </c>
      <c r="Q6">
        <v>23</v>
      </c>
      <c r="R6">
        <v>2</v>
      </c>
      <c r="S6">
        <v>302</v>
      </c>
      <c r="T6">
        <v>403</v>
      </c>
      <c r="U6">
        <v>0</v>
      </c>
      <c r="V6">
        <v>0</v>
      </c>
      <c r="W6">
        <v>0</v>
      </c>
      <c r="X6" s="2">
        <v>9986</v>
      </c>
      <c r="Y6">
        <v>91</v>
      </c>
      <c r="Z6" s="2">
        <v>28632</v>
      </c>
      <c r="AA6" s="1">
        <v>0.449</v>
      </c>
      <c r="AB6" s="2">
        <v>1143</v>
      </c>
      <c r="AC6" s="3">
        <v>0.259027777777778</v>
      </c>
      <c r="AD6">
        <v>2</v>
      </c>
      <c r="AE6" s="2">
        <v>1976</v>
      </c>
      <c r="AF6">
        <v>6</v>
      </c>
      <c r="AG6">
        <v>650</v>
      </c>
      <c r="AH6">
        <v>1</v>
      </c>
      <c r="AI6">
        <v>8</v>
      </c>
    </row>
    <row r="7" spans="1:35">
      <c r="A7">
        <v>260519</v>
      </c>
      <c r="B7">
        <v>2</v>
      </c>
      <c r="C7" t="s">
        <v>76</v>
      </c>
      <c r="D7" t="s">
        <v>84</v>
      </c>
      <c r="E7">
        <v>40</v>
      </c>
      <c r="F7" t="s">
        <v>19</v>
      </c>
      <c r="G7">
        <f>VLOOKUP(F7,选手工资!$A:$T,13,FALSE)</f>
        <v>8</v>
      </c>
      <c r="H7" t="s">
        <v>88</v>
      </c>
      <c r="I7">
        <v>2</v>
      </c>
      <c r="J7">
        <v>24</v>
      </c>
      <c r="K7">
        <v>19</v>
      </c>
      <c r="L7">
        <v>6</v>
      </c>
      <c r="M7">
        <v>10</v>
      </c>
      <c r="N7" s="1">
        <v>0.725</v>
      </c>
      <c r="O7" s="1">
        <v>0.277</v>
      </c>
      <c r="P7" s="2">
        <v>23164</v>
      </c>
      <c r="Q7">
        <v>272</v>
      </c>
      <c r="R7">
        <v>8</v>
      </c>
      <c r="S7">
        <v>608</v>
      </c>
      <c r="T7">
        <v>811</v>
      </c>
      <c r="U7">
        <v>7</v>
      </c>
      <c r="V7">
        <v>597</v>
      </c>
      <c r="W7">
        <v>0</v>
      </c>
      <c r="X7" s="2">
        <v>35912</v>
      </c>
      <c r="Y7">
        <v>321</v>
      </c>
      <c r="Z7" s="2">
        <v>56994</v>
      </c>
      <c r="AA7" s="1">
        <v>0.519</v>
      </c>
      <c r="AB7" s="2">
        <v>1862</v>
      </c>
      <c r="AC7" s="3">
        <v>0.264583333333333</v>
      </c>
      <c r="AD7">
        <v>3</v>
      </c>
      <c r="AE7" s="2">
        <v>4447</v>
      </c>
      <c r="AF7">
        <v>9</v>
      </c>
      <c r="AG7">
        <v>100</v>
      </c>
      <c r="AH7">
        <v>1</v>
      </c>
      <c r="AI7">
        <v>3</v>
      </c>
    </row>
    <row r="8" spans="1:35">
      <c r="A8">
        <v>260519</v>
      </c>
      <c r="B8">
        <v>2</v>
      </c>
      <c r="C8" t="s">
        <v>76</v>
      </c>
      <c r="D8" t="s">
        <v>84</v>
      </c>
      <c r="E8">
        <v>40</v>
      </c>
      <c r="F8" t="s">
        <v>38</v>
      </c>
      <c r="G8">
        <f>VLOOKUP(F8,选手工资!$A:$T,13,FALSE)</f>
        <v>2</v>
      </c>
      <c r="H8" t="s">
        <v>177</v>
      </c>
      <c r="I8">
        <v>3</v>
      </c>
      <c r="J8">
        <v>23</v>
      </c>
      <c r="K8">
        <v>8</v>
      </c>
      <c r="L8">
        <v>7</v>
      </c>
      <c r="M8">
        <v>19</v>
      </c>
      <c r="N8" s="1">
        <v>0.675</v>
      </c>
      <c r="O8" s="1">
        <v>0.185</v>
      </c>
      <c r="P8" s="2">
        <v>16814</v>
      </c>
      <c r="Q8">
        <v>241</v>
      </c>
      <c r="R8">
        <v>3</v>
      </c>
      <c r="S8">
        <v>494</v>
      </c>
      <c r="T8">
        <v>727</v>
      </c>
      <c r="U8">
        <v>1</v>
      </c>
      <c r="V8">
        <v>0</v>
      </c>
      <c r="W8">
        <v>0</v>
      </c>
      <c r="X8" s="2">
        <v>24014</v>
      </c>
      <c r="Y8">
        <v>268</v>
      </c>
      <c r="Z8" s="2">
        <v>84874</v>
      </c>
      <c r="AA8" s="1">
        <v>0.577</v>
      </c>
      <c r="AB8" s="2">
        <v>1609</v>
      </c>
      <c r="AC8" s="3">
        <v>0.252777777777778</v>
      </c>
      <c r="AD8">
        <v>8</v>
      </c>
      <c r="AE8" s="2">
        <v>4231</v>
      </c>
      <c r="AF8">
        <v>7</v>
      </c>
      <c r="AG8">
        <v>0</v>
      </c>
      <c r="AH8">
        <v>2</v>
      </c>
      <c r="AI8">
        <v>0</v>
      </c>
    </row>
    <row r="9" spans="1:35">
      <c r="A9">
        <v>260519</v>
      </c>
      <c r="B9">
        <v>2</v>
      </c>
      <c r="C9" t="s">
        <v>76</v>
      </c>
      <c r="D9" t="s">
        <v>84</v>
      </c>
      <c r="E9">
        <v>40</v>
      </c>
      <c r="F9" t="s">
        <v>25</v>
      </c>
      <c r="G9">
        <f>VLOOKUP(F9,选手工资!$A:$T,13,FALSE)</f>
        <v>4.5</v>
      </c>
      <c r="H9" t="s">
        <v>133</v>
      </c>
      <c r="I9">
        <v>5</v>
      </c>
      <c r="J9">
        <v>15</v>
      </c>
      <c r="K9">
        <v>2</v>
      </c>
      <c r="L9">
        <v>13</v>
      </c>
      <c r="M9">
        <v>16</v>
      </c>
      <c r="N9" s="1">
        <v>0.45</v>
      </c>
      <c r="O9" s="1">
        <v>0.281</v>
      </c>
      <c r="P9" s="2">
        <v>8856</v>
      </c>
      <c r="Q9">
        <v>25</v>
      </c>
      <c r="R9">
        <v>0</v>
      </c>
      <c r="S9">
        <v>267</v>
      </c>
      <c r="T9">
        <v>314</v>
      </c>
      <c r="U9">
        <v>3</v>
      </c>
      <c r="V9">
        <v>0</v>
      </c>
      <c r="W9">
        <v>0</v>
      </c>
      <c r="X9" s="2">
        <v>36354</v>
      </c>
      <c r="Y9">
        <v>154</v>
      </c>
      <c r="Z9" s="2">
        <v>30555</v>
      </c>
      <c r="AA9" s="1">
        <v>0.398</v>
      </c>
      <c r="AB9" s="2">
        <v>1087</v>
      </c>
      <c r="AC9" s="3">
        <v>0.338194444444444</v>
      </c>
      <c r="AD9">
        <v>4</v>
      </c>
      <c r="AE9" s="2">
        <v>2224</v>
      </c>
      <c r="AF9">
        <v>5</v>
      </c>
      <c r="AG9">
        <v>550</v>
      </c>
      <c r="AH9">
        <v>1</v>
      </c>
      <c r="AI9">
        <v>5</v>
      </c>
    </row>
    <row r="10" spans="1:35">
      <c r="A10">
        <v>260519</v>
      </c>
      <c r="B10">
        <v>2</v>
      </c>
      <c r="C10" t="s">
        <v>76</v>
      </c>
      <c r="D10" t="s">
        <v>84</v>
      </c>
      <c r="E10">
        <v>40</v>
      </c>
      <c r="F10" t="s">
        <v>15</v>
      </c>
      <c r="G10">
        <f>VLOOKUP(F10,选手工资!$A:$T,13,FALSE)</f>
        <v>8</v>
      </c>
      <c r="H10" t="s">
        <v>141</v>
      </c>
      <c r="I10">
        <v>4</v>
      </c>
      <c r="J10">
        <v>19</v>
      </c>
      <c r="K10">
        <v>6</v>
      </c>
      <c r="L10">
        <v>9</v>
      </c>
      <c r="M10">
        <v>15</v>
      </c>
      <c r="N10" s="1">
        <v>0.525</v>
      </c>
      <c r="O10" s="1">
        <v>0.142</v>
      </c>
      <c r="P10" s="2">
        <v>12479</v>
      </c>
      <c r="Q10">
        <v>95</v>
      </c>
      <c r="R10">
        <v>9</v>
      </c>
      <c r="S10">
        <v>369</v>
      </c>
      <c r="T10">
        <v>480</v>
      </c>
      <c r="U10">
        <v>1</v>
      </c>
      <c r="V10">
        <v>125</v>
      </c>
      <c r="W10">
        <v>0</v>
      </c>
      <c r="X10" s="2">
        <v>18369</v>
      </c>
      <c r="Y10">
        <v>50</v>
      </c>
      <c r="Z10" s="2">
        <v>38209</v>
      </c>
      <c r="AA10" s="1">
        <v>0.44</v>
      </c>
      <c r="AB10" s="2">
        <v>1478</v>
      </c>
      <c r="AC10" s="3">
        <v>0.285416666666667</v>
      </c>
      <c r="AD10">
        <v>7</v>
      </c>
      <c r="AE10" s="2">
        <v>2095</v>
      </c>
      <c r="AF10">
        <v>5</v>
      </c>
      <c r="AG10" s="2">
        <v>1480</v>
      </c>
      <c r="AH10">
        <v>1</v>
      </c>
      <c r="AI10">
        <v>12</v>
      </c>
    </row>
    <row r="11" spans="1:35">
      <c r="A11">
        <v>260519</v>
      </c>
      <c r="B11">
        <v>2</v>
      </c>
      <c r="C11" t="s">
        <v>76</v>
      </c>
      <c r="D11" t="s">
        <v>84</v>
      </c>
      <c r="E11">
        <v>40</v>
      </c>
      <c r="F11" t="s">
        <v>18</v>
      </c>
      <c r="G11">
        <f>VLOOKUP(F11,选手工资!$A:$T,13,FALSE)</f>
        <v>6.5</v>
      </c>
      <c r="H11" t="s">
        <v>210</v>
      </c>
      <c r="I11">
        <v>1</v>
      </c>
      <c r="J11">
        <v>24</v>
      </c>
      <c r="K11">
        <v>4</v>
      </c>
      <c r="L11">
        <v>10</v>
      </c>
      <c r="M11">
        <v>10</v>
      </c>
      <c r="N11" s="1">
        <v>0.35</v>
      </c>
      <c r="O11" s="1">
        <v>0.115</v>
      </c>
      <c r="P11" s="2">
        <v>20872</v>
      </c>
      <c r="Q11">
        <v>383</v>
      </c>
      <c r="R11">
        <v>14</v>
      </c>
      <c r="S11">
        <v>559</v>
      </c>
      <c r="T11">
        <v>778</v>
      </c>
      <c r="U11">
        <v>3</v>
      </c>
      <c r="V11">
        <v>0</v>
      </c>
      <c r="W11">
        <v>0</v>
      </c>
      <c r="X11" s="2">
        <v>14891</v>
      </c>
      <c r="Y11" s="2">
        <v>2430</v>
      </c>
      <c r="Z11" s="2">
        <v>68275</v>
      </c>
      <c r="AA11" s="1">
        <v>0.519</v>
      </c>
      <c r="AB11" s="2">
        <v>2397</v>
      </c>
      <c r="AC11" s="3">
        <v>0.340972222222222</v>
      </c>
      <c r="AD11">
        <v>10</v>
      </c>
      <c r="AE11" s="2">
        <v>3725</v>
      </c>
      <c r="AF11">
        <v>6</v>
      </c>
      <c r="AG11">
        <v>0</v>
      </c>
      <c r="AH11">
        <v>0</v>
      </c>
      <c r="AI11">
        <v>0</v>
      </c>
    </row>
    <row r="14" spans="1:35">
      <c r="A14" t="s">
        <v>90</v>
      </c>
      <c r="B14" s="4">
        <v>8817242342</v>
      </c>
      <c r="C14" s="4"/>
    </row>
    <row r="15" spans="1:35">
      <c r="A15" t="s">
        <v>91</v>
      </c>
      <c r="B15" s="5" t="s">
        <v>238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G2" sqref="G2:G11"/>
    </sheetView>
  </sheetViews>
  <sheetFormatPr defaultColWidth="9.23076923076923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260519</v>
      </c>
      <c r="B2">
        <v>3</v>
      </c>
      <c r="C2" t="s">
        <v>83</v>
      </c>
      <c r="D2" t="s">
        <v>84</v>
      </c>
      <c r="E2">
        <v>35</v>
      </c>
      <c r="F2" t="s">
        <v>30</v>
      </c>
      <c r="G2">
        <f>VLOOKUP(F2,选手工资!$A:$T,13,FALSE)</f>
        <v>4.5</v>
      </c>
      <c r="H2" t="s">
        <v>198</v>
      </c>
      <c r="I2">
        <v>2</v>
      </c>
      <c r="J2">
        <v>22</v>
      </c>
      <c r="K2">
        <v>9</v>
      </c>
      <c r="L2">
        <v>7</v>
      </c>
      <c r="M2">
        <v>12</v>
      </c>
      <c r="N2" s="1">
        <v>0.6</v>
      </c>
      <c r="O2" s="1">
        <v>0.263</v>
      </c>
      <c r="P2" s="2">
        <v>21237</v>
      </c>
      <c r="Q2">
        <v>366</v>
      </c>
      <c r="R2">
        <v>7</v>
      </c>
      <c r="S2">
        <v>548</v>
      </c>
      <c r="T2">
        <v>606</v>
      </c>
      <c r="U2">
        <v>3</v>
      </c>
      <c r="V2">
        <v>0</v>
      </c>
      <c r="W2">
        <v>1</v>
      </c>
      <c r="X2" s="2">
        <v>29053</v>
      </c>
      <c r="Y2" s="2">
        <v>5905</v>
      </c>
      <c r="Z2" s="2">
        <v>83031</v>
      </c>
      <c r="AA2" s="1">
        <v>0.541</v>
      </c>
      <c r="AB2" s="2">
        <v>2435</v>
      </c>
      <c r="AC2" s="3">
        <v>0.269444444444444</v>
      </c>
      <c r="AD2">
        <v>9</v>
      </c>
      <c r="AE2" s="2">
        <v>4381</v>
      </c>
      <c r="AF2">
        <v>9</v>
      </c>
      <c r="AG2">
        <v>50</v>
      </c>
      <c r="AH2">
        <v>1</v>
      </c>
      <c r="AI2">
        <v>0</v>
      </c>
    </row>
    <row r="3" spans="1:35">
      <c r="A3">
        <v>260519</v>
      </c>
      <c r="B3">
        <v>3</v>
      </c>
      <c r="C3" t="s">
        <v>83</v>
      </c>
      <c r="D3" t="s">
        <v>84</v>
      </c>
      <c r="E3">
        <v>35</v>
      </c>
      <c r="F3" t="s">
        <v>19</v>
      </c>
      <c r="G3">
        <f>VLOOKUP(F3,选手工资!$A:$T,13,FALSE)</f>
        <v>8</v>
      </c>
      <c r="H3" t="s">
        <v>135</v>
      </c>
      <c r="I3">
        <v>3</v>
      </c>
      <c r="J3">
        <v>25</v>
      </c>
      <c r="K3">
        <v>3</v>
      </c>
      <c r="L3">
        <v>6</v>
      </c>
      <c r="M3">
        <v>20</v>
      </c>
      <c r="N3" s="1">
        <v>0.657</v>
      </c>
      <c r="O3" s="1">
        <v>0.204</v>
      </c>
      <c r="P3" s="2">
        <v>21148</v>
      </c>
      <c r="Q3">
        <v>391</v>
      </c>
      <c r="R3">
        <v>8</v>
      </c>
      <c r="S3">
        <v>565</v>
      </c>
      <c r="T3">
        <v>768</v>
      </c>
      <c r="U3">
        <v>2</v>
      </c>
      <c r="V3" s="2">
        <v>18824</v>
      </c>
      <c r="W3">
        <v>0</v>
      </c>
      <c r="X3" s="2">
        <v>22536</v>
      </c>
      <c r="Y3">
        <v>34</v>
      </c>
      <c r="Z3" s="2">
        <v>124474</v>
      </c>
      <c r="AA3" s="1">
        <v>0.597</v>
      </c>
      <c r="AB3" s="2">
        <v>1917</v>
      </c>
      <c r="AC3" s="3">
        <v>0.15625</v>
      </c>
      <c r="AD3">
        <v>5</v>
      </c>
      <c r="AE3" s="2">
        <v>4275</v>
      </c>
      <c r="AF3">
        <v>7</v>
      </c>
      <c r="AG3">
        <v>0</v>
      </c>
      <c r="AH3">
        <v>4</v>
      </c>
      <c r="AI3">
        <v>1</v>
      </c>
    </row>
    <row r="4" spans="1:35">
      <c r="A4">
        <v>260519</v>
      </c>
      <c r="B4">
        <v>3</v>
      </c>
      <c r="C4" t="s">
        <v>83</v>
      </c>
      <c r="D4" t="s">
        <v>84</v>
      </c>
      <c r="E4">
        <v>35</v>
      </c>
      <c r="F4" t="s">
        <v>15</v>
      </c>
      <c r="G4">
        <f>VLOOKUP(F4,选手工资!$A:$T,13,FALSE)</f>
        <v>8</v>
      </c>
      <c r="H4" t="s">
        <v>204</v>
      </c>
      <c r="I4">
        <v>1</v>
      </c>
      <c r="J4">
        <v>26</v>
      </c>
      <c r="K4">
        <v>13</v>
      </c>
      <c r="L4">
        <v>6</v>
      </c>
      <c r="M4">
        <v>11</v>
      </c>
      <c r="N4" s="1">
        <v>0.686</v>
      </c>
      <c r="O4" s="1">
        <v>0.266</v>
      </c>
      <c r="P4" s="2">
        <v>22363</v>
      </c>
      <c r="Q4">
        <v>355</v>
      </c>
      <c r="R4">
        <v>15</v>
      </c>
      <c r="S4">
        <v>612</v>
      </c>
      <c r="T4">
        <v>858</v>
      </c>
      <c r="U4">
        <v>1</v>
      </c>
      <c r="V4">
        <v>0</v>
      </c>
      <c r="W4">
        <v>0</v>
      </c>
      <c r="X4" s="2">
        <v>29382</v>
      </c>
      <c r="Y4" s="2">
        <v>2040</v>
      </c>
      <c r="Z4" s="2">
        <v>69522</v>
      </c>
      <c r="AA4" s="1">
        <v>0.561</v>
      </c>
      <c r="AB4" s="2">
        <v>2515</v>
      </c>
      <c r="AC4" s="3">
        <v>0.203472222222222</v>
      </c>
      <c r="AD4">
        <v>6</v>
      </c>
      <c r="AE4" s="2">
        <v>3820</v>
      </c>
      <c r="AF4">
        <v>6</v>
      </c>
      <c r="AG4">
        <v>0</v>
      </c>
      <c r="AH4">
        <v>0</v>
      </c>
      <c r="AI4">
        <v>0</v>
      </c>
    </row>
    <row r="5" spans="1:35">
      <c r="A5">
        <v>260519</v>
      </c>
      <c r="B5">
        <v>3</v>
      </c>
      <c r="C5" t="s">
        <v>83</v>
      </c>
      <c r="D5" t="s">
        <v>84</v>
      </c>
      <c r="E5">
        <v>35</v>
      </c>
      <c r="F5" t="s">
        <v>18</v>
      </c>
      <c r="G5">
        <f>VLOOKUP(F5,选手工资!$A:$T,13,FALSE)</f>
        <v>6.5</v>
      </c>
      <c r="H5" t="s">
        <v>189</v>
      </c>
      <c r="I5">
        <v>4</v>
      </c>
      <c r="J5">
        <v>20</v>
      </c>
      <c r="K5">
        <v>6</v>
      </c>
      <c r="L5">
        <v>10</v>
      </c>
      <c r="M5">
        <v>11</v>
      </c>
      <c r="N5" s="1">
        <v>0.486</v>
      </c>
      <c r="O5" s="1">
        <v>0.181</v>
      </c>
      <c r="P5" s="2">
        <v>11607</v>
      </c>
      <c r="Q5">
        <v>110</v>
      </c>
      <c r="R5">
        <v>1</v>
      </c>
      <c r="S5">
        <v>332</v>
      </c>
      <c r="T5">
        <v>476</v>
      </c>
      <c r="U5">
        <v>1</v>
      </c>
      <c r="V5">
        <v>0</v>
      </c>
      <c r="W5">
        <v>1</v>
      </c>
      <c r="X5" s="2">
        <v>20048</v>
      </c>
      <c r="Y5">
        <v>24</v>
      </c>
      <c r="Z5" s="2">
        <v>51517</v>
      </c>
      <c r="AA5" s="1">
        <v>0.523</v>
      </c>
      <c r="AB5" s="2">
        <v>1074</v>
      </c>
      <c r="AC5" s="3">
        <v>0.269444444444444</v>
      </c>
      <c r="AD5">
        <v>1</v>
      </c>
      <c r="AE5" s="2">
        <v>2586</v>
      </c>
      <c r="AF5">
        <v>6</v>
      </c>
      <c r="AG5">
        <v>650</v>
      </c>
      <c r="AH5">
        <v>1</v>
      </c>
      <c r="AI5">
        <v>7</v>
      </c>
    </row>
    <row r="6" spans="1:35">
      <c r="A6">
        <v>260519</v>
      </c>
      <c r="B6">
        <v>3</v>
      </c>
      <c r="C6" t="s">
        <v>83</v>
      </c>
      <c r="D6" t="s">
        <v>84</v>
      </c>
      <c r="E6">
        <v>35</v>
      </c>
      <c r="F6" t="s">
        <v>24</v>
      </c>
      <c r="G6">
        <f>VLOOKUP(F6,选手工资!$A:$T,13,FALSE)</f>
        <v>6.5</v>
      </c>
      <c r="H6" t="s">
        <v>123</v>
      </c>
      <c r="I6">
        <v>5</v>
      </c>
      <c r="J6">
        <v>19</v>
      </c>
      <c r="K6">
        <v>3</v>
      </c>
      <c r="L6">
        <v>9</v>
      </c>
      <c r="M6">
        <v>21</v>
      </c>
      <c r="N6" s="1">
        <v>0.686</v>
      </c>
      <c r="O6" s="1">
        <v>0.087</v>
      </c>
      <c r="P6" s="2">
        <v>10759</v>
      </c>
      <c r="Q6">
        <v>30</v>
      </c>
      <c r="R6">
        <v>5</v>
      </c>
      <c r="S6">
        <v>315</v>
      </c>
      <c r="T6">
        <v>440</v>
      </c>
      <c r="U6">
        <v>2</v>
      </c>
      <c r="V6">
        <v>0</v>
      </c>
      <c r="W6">
        <v>1</v>
      </c>
      <c r="X6" s="2">
        <v>9606</v>
      </c>
      <c r="Y6">
        <v>79</v>
      </c>
      <c r="Z6" s="2">
        <v>54256</v>
      </c>
      <c r="AA6" s="1">
        <v>0.497</v>
      </c>
      <c r="AB6">
        <v>974</v>
      </c>
      <c r="AC6" s="3">
        <v>0.229861111111111</v>
      </c>
      <c r="AD6">
        <v>2</v>
      </c>
      <c r="AE6" s="2">
        <v>2026</v>
      </c>
      <c r="AF6">
        <v>5</v>
      </c>
      <c r="AG6" s="2">
        <v>1480</v>
      </c>
      <c r="AH6">
        <v>1</v>
      </c>
      <c r="AI6">
        <v>14</v>
      </c>
    </row>
    <row r="7" spans="1:35">
      <c r="A7">
        <v>260519</v>
      </c>
      <c r="B7">
        <v>3</v>
      </c>
      <c r="C7" t="s">
        <v>76</v>
      </c>
      <c r="D7" t="s">
        <v>77</v>
      </c>
      <c r="E7">
        <v>38</v>
      </c>
      <c r="F7" t="s">
        <v>17</v>
      </c>
      <c r="G7">
        <f>VLOOKUP(F7,选手工资!$A:$T,13,FALSE)</f>
        <v>6.5</v>
      </c>
      <c r="H7" t="s">
        <v>218</v>
      </c>
      <c r="I7">
        <v>1</v>
      </c>
      <c r="J7">
        <v>29</v>
      </c>
      <c r="K7">
        <v>15</v>
      </c>
      <c r="L7">
        <v>1</v>
      </c>
      <c r="M7">
        <v>15</v>
      </c>
      <c r="N7" s="1">
        <v>0.789</v>
      </c>
      <c r="O7" s="1">
        <v>0.471</v>
      </c>
      <c r="P7" s="2">
        <v>41969</v>
      </c>
      <c r="Q7">
        <v>613</v>
      </c>
      <c r="R7">
        <v>13</v>
      </c>
      <c r="S7">
        <v>942</v>
      </c>
      <c r="T7" s="2">
        <v>1268</v>
      </c>
      <c r="U7">
        <v>5</v>
      </c>
      <c r="V7">
        <v>0</v>
      </c>
      <c r="W7">
        <v>2</v>
      </c>
      <c r="X7" s="2">
        <v>80272</v>
      </c>
      <c r="Y7" s="2">
        <v>17862</v>
      </c>
      <c r="Z7" s="2">
        <v>83261</v>
      </c>
      <c r="AA7" s="1">
        <v>0.966</v>
      </c>
      <c r="AB7">
        <v>35</v>
      </c>
      <c r="AC7" s="3">
        <v>0.0131944444444444</v>
      </c>
      <c r="AD7">
        <v>10</v>
      </c>
      <c r="AE7" s="2">
        <v>4578</v>
      </c>
      <c r="AF7">
        <v>8</v>
      </c>
      <c r="AG7">
        <v>150</v>
      </c>
      <c r="AH7">
        <v>2</v>
      </c>
      <c r="AI7">
        <v>4</v>
      </c>
    </row>
    <row r="8" spans="1:35">
      <c r="A8">
        <v>260519</v>
      </c>
      <c r="B8">
        <v>3</v>
      </c>
      <c r="C8" t="s">
        <v>76</v>
      </c>
      <c r="D8" t="s">
        <v>77</v>
      </c>
      <c r="E8">
        <v>38</v>
      </c>
      <c r="F8" t="s">
        <v>14</v>
      </c>
      <c r="G8">
        <f>VLOOKUP(F8,选手工资!$A:$T,13,FALSE)</f>
        <v>9.5</v>
      </c>
      <c r="H8" t="s">
        <v>119</v>
      </c>
      <c r="I8">
        <v>3</v>
      </c>
      <c r="J8">
        <v>24</v>
      </c>
      <c r="K8">
        <v>7</v>
      </c>
      <c r="L8">
        <v>8</v>
      </c>
      <c r="M8">
        <v>18</v>
      </c>
      <c r="N8" s="1">
        <v>0.658</v>
      </c>
      <c r="O8" s="1">
        <v>0.151</v>
      </c>
      <c r="P8" s="2">
        <v>26060</v>
      </c>
      <c r="Q8">
        <v>168</v>
      </c>
      <c r="R8">
        <v>29</v>
      </c>
      <c r="S8">
        <v>632</v>
      </c>
      <c r="T8">
        <v>751</v>
      </c>
      <c r="U8">
        <v>2</v>
      </c>
      <c r="V8">
        <v>0</v>
      </c>
      <c r="W8">
        <v>0</v>
      </c>
      <c r="X8" s="2">
        <v>25751</v>
      </c>
      <c r="Y8">
        <v>127</v>
      </c>
      <c r="Z8" s="2">
        <v>57706</v>
      </c>
      <c r="AA8" s="1">
        <v>0.382</v>
      </c>
      <c r="AB8" s="2">
        <v>1952</v>
      </c>
      <c r="AC8" s="3">
        <v>0.241666666666667</v>
      </c>
      <c r="AD8">
        <v>4</v>
      </c>
      <c r="AE8" s="2">
        <v>3543</v>
      </c>
      <c r="AF8">
        <v>6</v>
      </c>
      <c r="AG8">
        <v>50</v>
      </c>
      <c r="AH8">
        <v>0</v>
      </c>
      <c r="AI8">
        <v>3</v>
      </c>
    </row>
    <row r="9" spans="1:35">
      <c r="A9">
        <v>260519</v>
      </c>
      <c r="B9">
        <v>3</v>
      </c>
      <c r="C9" t="s">
        <v>76</v>
      </c>
      <c r="D9" t="s">
        <v>77</v>
      </c>
      <c r="E9">
        <v>38</v>
      </c>
      <c r="F9" t="s">
        <v>25</v>
      </c>
      <c r="G9">
        <f>VLOOKUP(F9,选手工资!$A:$T,13,FALSE)</f>
        <v>4.5</v>
      </c>
      <c r="H9" t="s">
        <v>124</v>
      </c>
      <c r="I9">
        <v>4</v>
      </c>
      <c r="J9">
        <v>21</v>
      </c>
      <c r="K9">
        <v>3</v>
      </c>
      <c r="L9">
        <v>9</v>
      </c>
      <c r="M9">
        <v>20</v>
      </c>
      <c r="N9" s="1">
        <v>0.605</v>
      </c>
      <c r="O9" s="1">
        <v>0.085</v>
      </c>
      <c r="P9" s="2">
        <v>14692</v>
      </c>
      <c r="Q9">
        <v>79</v>
      </c>
      <c r="R9">
        <v>0</v>
      </c>
      <c r="S9">
        <v>337</v>
      </c>
      <c r="T9">
        <v>547</v>
      </c>
      <c r="U9">
        <v>2</v>
      </c>
      <c r="V9">
        <v>0</v>
      </c>
      <c r="W9">
        <v>1</v>
      </c>
      <c r="X9" s="2">
        <v>14536</v>
      </c>
      <c r="Y9">
        <v>0</v>
      </c>
      <c r="Z9" s="2">
        <v>32278</v>
      </c>
      <c r="AA9" s="1">
        <v>0.355</v>
      </c>
      <c r="AB9" s="2">
        <v>1064</v>
      </c>
      <c r="AC9" s="3">
        <v>0.258333333333333</v>
      </c>
      <c r="AD9">
        <v>7</v>
      </c>
      <c r="AE9" s="2">
        <v>2141</v>
      </c>
      <c r="AF9">
        <v>5</v>
      </c>
      <c r="AG9">
        <v>530</v>
      </c>
      <c r="AH9">
        <v>5</v>
      </c>
      <c r="AI9">
        <v>4</v>
      </c>
    </row>
    <row r="10" spans="1:35">
      <c r="A10">
        <v>260519</v>
      </c>
      <c r="B10">
        <v>3</v>
      </c>
      <c r="C10" t="s">
        <v>76</v>
      </c>
      <c r="D10" t="s">
        <v>77</v>
      </c>
      <c r="E10">
        <v>38</v>
      </c>
      <c r="F10" t="s">
        <v>41</v>
      </c>
      <c r="G10">
        <f>VLOOKUP(F10,选手工资!$A:$T,13,FALSE)</f>
        <v>2.5</v>
      </c>
      <c r="H10" t="s">
        <v>94</v>
      </c>
      <c r="I10">
        <v>5</v>
      </c>
      <c r="J10">
        <v>19</v>
      </c>
      <c r="K10">
        <v>2</v>
      </c>
      <c r="L10">
        <v>11</v>
      </c>
      <c r="M10">
        <v>23</v>
      </c>
      <c r="N10" s="1">
        <v>0.658</v>
      </c>
      <c r="O10" s="1">
        <v>0.064</v>
      </c>
      <c r="P10" s="2">
        <v>12498</v>
      </c>
      <c r="Q10">
        <v>25</v>
      </c>
      <c r="R10">
        <v>1</v>
      </c>
      <c r="S10">
        <v>309</v>
      </c>
      <c r="T10">
        <v>435</v>
      </c>
      <c r="U10">
        <v>2</v>
      </c>
      <c r="V10">
        <v>0</v>
      </c>
      <c r="W10">
        <v>0</v>
      </c>
      <c r="X10" s="2">
        <v>10841</v>
      </c>
      <c r="Y10">
        <v>0</v>
      </c>
      <c r="Z10" s="2">
        <v>26777</v>
      </c>
      <c r="AA10" s="1">
        <v>0.359</v>
      </c>
      <c r="AB10" s="2">
        <v>1041</v>
      </c>
      <c r="AC10" s="3">
        <v>0.277083333333333</v>
      </c>
      <c r="AD10">
        <v>3</v>
      </c>
      <c r="AE10" s="2">
        <v>1765</v>
      </c>
      <c r="AF10">
        <v>5</v>
      </c>
      <c r="AG10" s="2">
        <v>1190</v>
      </c>
      <c r="AH10">
        <v>4</v>
      </c>
      <c r="AI10">
        <v>11</v>
      </c>
    </row>
    <row r="11" spans="1:35">
      <c r="A11">
        <v>260519</v>
      </c>
      <c r="B11">
        <v>3</v>
      </c>
      <c r="C11" t="s">
        <v>76</v>
      </c>
      <c r="D11" t="s">
        <v>77</v>
      </c>
      <c r="E11">
        <v>38</v>
      </c>
      <c r="F11" t="s">
        <v>13</v>
      </c>
      <c r="G11">
        <f>VLOOKUP(F11,选手工资!$A:$T,13,FALSE)</f>
        <v>11</v>
      </c>
      <c r="H11" t="s">
        <v>82</v>
      </c>
      <c r="I11">
        <v>2</v>
      </c>
      <c r="J11">
        <v>26</v>
      </c>
      <c r="K11">
        <v>11</v>
      </c>
      <c r="L11">
        <v>6</v>
      </c>
      <c r="M11">
        <v>17</v>
      </c>
      <c r="N11" s="1">
        <v>0.737</v>
      </c>
      <c r="O11" s="1">
        <v>0.23</v>
      </c>
      <c r="P11" s="2">
        <v>23551</v>
      </c>
      <c r="Q11">
        <v>319</v>
      </c>
      <c r="R11">
        <v>13</v>
      </c>
      <c r="S11">
        <v>618</v>
      </c>
      <c r="T11">
        <v>944</v>
      </c>
      <c r="U11">
        <v>4</v>
      </c>
      <c r="V11">
        <v>0</v>
      </c>
      <c r="W11">
        <v>1</v>
      </c>
      <c r="X11" s="2">
        <v>39178</v>
      </c>
      <c r="Y11" s="2">
        <v>4827</v>
      </c>
      <c r="Z11" s="2">
        <v>51665</v>
      </c>
      <c r="AA11" s="1">
        <v>0.339</v>
      </c>
      <c r="AB11" s="2">
        <v>1697</v>
      </c>
      <c r="AC11" s="3">
        <v>0.234722222222222</v>
      </c>
      <c r="AD11">
        <v>8</v>
      </c>
      <c r="AE11" s="2">
        <v>4186</v>
      </c>
      <c r="AF11">
        <v>8</v>
      </c>
      <c r="AG11">
        <v>50</v>
      </c>
      <c r="AH11">
        <v>2</v>
      </c>
      <c r="AI11">
        <v>0</v>
      </c>
    </row>
    <row r="14" spans="1:35">
      <c r="A14" t="s">
        <v>90</v>
      </c>
      <c r="B14" s="4">
        <v>8817321536</v>
      </c>
      <c r="C14" s="4"/>
    </row>
    <row r="15" spans="1:35">
      <c r="A15" t="s">
        <v>91</v>
      </c>
      <c r="B15" s="5" t="s">
        <v>239</v>
      </c>
    </row>
  </sheetData>
  <sortState ref="A2:AI11">
    <sortCondition ref="C3"/>
  </sortState>
  <mergeCells count="1">
    <mergeCell ref="B14:C14"/>
  </mergeCell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pane xSplit="8" ySplit="1" topLeftCell="AD2" activePane="bottomRight" state="frozen"/>
      <selection/>
      <selection pane="topRight"/>
      <selection pane="bottomLeft"/>
      <selection pane="bottomRight" activeCell="C2" sqref="A2:AI11"/>
    </sheetView>
  </sheetViews>
  <sheetFormatPr defaultColWidth="9.23076923076923" defaultRowHeight="16.8"/>
  <sheetData>
    <row r="1" spans="1: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19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100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>
      <c r="A2">
        <v>260519</v>
      </c>
      <c r="B2">
        <v>4</v>
      </c>
      <c r="C2" t="s">
        <v>83</v>
      </c>
      <c r="D2" t="s">
        <v>77</v>
      </c>
      <c r="E2">
        <v>44</v>
      </c>
      <c r="F2" t="s">
        <v>30</v>
      </c>
      <c r="G2">
        <f>VLOOKUP(F2,选手工资!$A:$T,13,FALSE)</f>
        <v>4.5</v>
      </c>
      <c r="H2" t="s">
        <v>149</v>
      </c>
      <c r="I2">
        <v>3</v>
      </c>
      <c r="J2">
        <v>16</v>
      </c>
      <c r="K2">
        <v>12</v>
      </c>
      <c r="L2">
        <v>6</v>
      </c>
      <c r="M2">
        <v>16</v>
      </c>
      <c r="N2" s="1">
        <v>0.636</v>
      </c>
      <c r="O2" s="1">
        <v>0.281</v>
      </c>
      <c r="P2" s="2">
        <v>10510</v>
      </c>
      <c r="Q2">
        <v>104</v>
      </c>
      <c r="R2">
        <v>13</v>
      </c>
      <c r="S2">
        <v>497</v>
      </c>
      <c r="T2">
        <v>632</v>
      </c>
      <c r="U2">
        <v>2</v>
      </c>
      <c r="V2">
        <v>0</v>
      </c>
      <c r="W2">
        <v>0</v>
      </c>
      <c r="X2" s="2">
        <v>20560</v>
      </c>
      <c r="Y2">
        <v>459</v>
      </c>
      <c r="Z2" s="2">
        <v>36079</v>
      </c>
      <c r="AA2" s="1">
        <v>0.393</v>
      </c>
      <c r="AB2">
        <v>819</v>
      </c>
      <c r="AC2" s="3">
        <v>0.154166666666667</v>
      </c>
      <c r="AD2">
        <v>5</v>
      </c>
      <c r="AE2" s="2">
        <v>3763</v>
      </c>
      <c r="AF2">
        <v>8</v>
      </c>
      <c r="AG2">
        <v>0</v>
      </c>
      <c r="AH2">
        <v>0</v>
      </c>
      <c r="AI2">
        <v>1</v>
      </c>
    </row>
    <row r="3" spans="1:35">
      <c r="A3">
        <v>260519</v>
      </c>
      <c r="B3">
        <v>4</v>
      </c>
      <c r="C3" t="s">
        <v>83</v>
      </c>
      <c r="D3" t="s">
        <v>77</v>
      </c>
      <c r="E3">
        <v>44</v>
      </c>
      <c r="F3" t="s">
        <v>17</v>
      </c>
      <c r="G3">
        <f>VLOOKUP(F3,选手工资!$A:$T,13,FALSE)</f>
        <v>6.5</v>
      </c>
      <c r="H3" t="s">
        <v>218</v>
      </c>
      <c r="I3">
        <v>1</v>
      </c>
      <c r="J3">
        <v>20</v>
      </c>
      <c r="K3">
        <v>3</v>
      </c>
      <c r="L3">
        <v>0</v>
      </c>
      <c r="M3">
        <v>1</v>
      </c>
      <c r="N3" s="1">
        <v>0.091</v>
      </c>
      <c r="O3" s="1">
        <v>0.086</v>
      </c>
      <c r="P3" s="2">
        <v>16857</v>
      </c>
      <c r="Q3">
        <v>348</v>
      </c>
      <c r="R3">
        <v>17</v>
      </c>
      <c r="S3">
        <v>686</v>
      </c>
      <c r="T3">
        <v>900</v>
      </c>
      <c r="U3">
        <v>1</v>
      </c>
      <c r="V3">
        <v>0</v>
      </c>
      <c r="W3">
        <v>0</v>
      </c>
      <c r="X3" s="2">
        <v>6272</v>
      </c>
      <c r="Y3" s="2">
        <v>1643</v>
      </c>
      <c r="Z3" s="2">
        <v>2773</v>
      </c>
      <c r="AA3" s="1">
        <v>0.98</v>
      </c>
      <c r="AB3">
        <v>0</v>
      </c>
      <c r="AC3" s="3">
        <v>0</v>
      </c>
      <c r="AD3">
        <v>9</v>
      </c>
      <c r="AE3" s="2">
        <v>4897</v>
      </c>
      <c r="AF3">
        <v>7</v>
      </c>
      <c r="AG3">
        <v>0</v>
      </c>
      <c r="AH3">
        <v>3</v>
      </c>
      <c r="AI3">
        <v>0</v>
      </c>
    </row>
    <row r="4" spans="1:35">
      <c r="A4">
        <v>260519</v>
      </c>
      <c r="B4">
        <v>4</v>
      </c>
      <c r="C4" t="s">
        <v>83</v>
      </c>
      <c r="D4" t="s">
        <v>77</v>
      </c>
      <c r="E4">
        <v>44</v>
      </c>
      <c r="F4" t="s">
        <v>19</v>
      </c>
      <c r="G4">
        <f>VLOOKUP(F4,选手工资!$A:$T,13,FALSE)</f>
        <v>8</v>
      </c>
      <c r="H4" t="s">
        <v>129</v>
      </c>
      <c r="I4">
        <v>2</v>
      </c>
      <c r="J4">
        <v>19</v>
      </c>
      <c r="K4">
        <v>15</v>
      </c>
      <c r="L4">
        <v>4</v>
      </c>
      <c r="M4">
        <v>12</v>
      </c>
      <c r="N4" s="1">
        <v>0.614</v>
      </c>
      <c r="O4" s="1">
        <v>0.321</v>
      </c>
      <c r="P4" s="2">
        <v>13455</v>
      </c>
      <c r="Q4">
        <v>144</v>
      </c>
      <c r="R4">
        <v>12</v>
      </c>
      <c r="S4">
        <v>581</v>
      </c>
      <c r="T4">
        <v>829</v>
      </c>
      <c r="U4">
        <v>1</v>
      </c>
      <c r="V4">
        <v>0</v>
      </c>
      <c r="W4">
        <v>0</v>
      </c>
      <c r="X4" s="2">
        <v>23532</v>
      </c>
      <c r="Y4">
        <v>81</v>
      </c>
      <c r="Z4" s="2">
        <v>40756</v>
      </c>
      <c r="AA4" s="1">
        <v>0.452</v>
      </c>
      <c r="AB4">
        <v>537</v>
      </c>
      <c r="AC4" s="3">
        <v>0.102083333333333</v>
      </c>
      <c r="AD4">
        <v>6</v>
      </c>
      <c r="AE4" s="2">
        <v>4169</v>
      </c>
      <c r="AF4">
        <v>7</v>
      </c>
      <c r="AG4">
        <v>0</v>
      </c>
      <c r="AH4">
        <v>0</v>
      </c>
      <c r="AI4">
        <v>0</v>
      </c>
    </row>
    <row r="5" spans="1:35">
      <c r="A5">
        <v>260519</v>
      </c>
      <c r="B5">
        <v>4</v>
      </c>
      <c r="C5" t="s">
        <v>83</v>
      </c>
      <c r="D5" t="s">
        <v>77</v>
      </c>
      <c r="E5">
        <v>44</v>
      </c>
      <c r="F5" t="s">
        <v>14</v>
      </c>
      <c r="G5">
        <f>VLOOKUP(F5,选手工资!$A:$T,13,FALSE)</f>
        <v>9.5</v>
      </c>
      <c r="H5" t="s">
        <v>98</v>
      </c>
      <c r="I5">
        <v>5</v>
      </c>
      <c r="J5">
        <v>13</v>
      </c>
      <c r="K5">
        <v>8</v>
      </c>
      <c r="L5">
        <v>6</v>
      </c>
      <c r="M5">
        <v>16</v>
      </c>
      <c r="N5" s="1">
        <v>0.545</v>
      </c>
      <c r="O5" s="1">
        <v>0.155</v>
      </c>
      <c r="P5" s="2">
        <v>6044</v>
      </c>
      <c r="Q5">
        <v>9</v>
      </c>
      <c r="R5">
        <v>1</v>
      </c>
      <c r="S5">
        <v>288</v>
      </c>
      <c r="T5">
        <v>421</v>
      </c>
      <c r="U5">
        <v>4</v>
      </c>
      <c r="V5">
        <v>0</v>
      </c>
      <c r="W5">
        <v>0</v>
      </c>
      <c r="X5" s="2">
        <v>11318</v>
      </c>
      <c r="Y5">
        <v>0</v>
      </c>
      <c r="Z5" s="2">
        <v>15839</v>
      </c>
      <c r="AA5" s="1">
        <v>0.328</v>
      </c>
      <c r="AB5">
        <v>711</v>
      </c>
      <c r="AC5" s="3">
        <v>0.157638888888889</v>
      </c>
      <c r="AD5">
        <v>1</v>
      </c>
      <c r="AE5" s="2">
        <v>2712</v>
      </c>
      <c r="AF5">
        <v>7</v>
      </c>
      <c r="AG5">
        <v>550</v>
      </c>
      <c r="AH5">
        <v>3</v>
      </c>
      <c r="AI5">
        <v>2</v>
      </c>
    </row>
    <row r="6" spans="1:35">
      <c r="A6">
        <v>260519</v>
      </c>
      <c r="B6">
        <v>4</v>
      </c>
      <c r="C6" t="s">
        <v>83</v>
      </c>
      <c r="D6" t="s">
        <v>77</v>
      </c>
      <c r="E6">
        <v>44</v>
      </c>
      <c r="F6" t="s">
        <v>28</v>
      </c>
      <c r="G6">
        <f>VLOOKUP(F6,选手工资!$A:$T,13,FALSE)</f>
        <v>6</v>
      </c>
      <c r="H6" t="s">
        <v>95</v>
      </c>
      <c r="I6">
        <v>4</v>
      </c>
      <c r="J6">
        <v>14</v>
      </c>
      <c r="K6">
        <v>5</v>
      </c>
      <c r="L6">
        <v>2</v>
      </c>
      <c r="M6">
        <v>15</v>
      </c>
      <c r="N6" s="1">
        <v>0.455</v>
      </c>
      <c r="O6" s="1">
        <v>0.157</v>
      </c>
      <c r="P6" s="2">
        <v>6016</v>
      </c>
      <c r="Q6">
        <v>23</v>
      </c>
      <c r="R6">
        <v>2</v>
      </c>
      <c r="S6">
        <v>275</v>
      </c>
      <c r="T6">
        <v>462</v>
      </c>
      <c r="U6">
        <v>0</v>
      </c>
      <c r="V6">
        <v>718</v>
      </c>
      <c r="W6">
        <v>0</v>
      </c>
      <c r="X6" s="2">
        <v>11516</v>
      </c>
      <c r="Y6">
        <v>158</v>
      </c>
      <c r="Z6" s="2">
        <v>11061</v>
      </c>
      <c r="AA6" s="1">
        <v>0.42</v>
      </c>
      <c r="AB6">
        <v>165</v>
      </c>
      <c r="AC6" s="3">
        <v>0.0451388888888889</v>
      </c>
      <c r="AD6">
        <v>2</v>
      </c>
      <c r="AE6" s="2">
        <v>1843</v>
      </c>
      <c r="AF6">
        <v>6</v>
      </c>
      <c r="AG6">
        <v>300</v>
      </c>
      <c r="AH6">
        <v>3</v>
      </c>
      <c r="AI6">
        <v>5</v>
      </c>
    </row>
    <row r="7" spans="1:35">
      <c r="A7">
        <v>260519</v>
      </c>
      <c r="B7">
        <v>4</v>
      </c>
      <c r="C7" t="s">
        <v>76</v>
      </c>
      <c r="D7" t="s">
        <v>84</v>
      </c>
      <c r="E7">
        <v>18</v>
      </c>
      <c r="F7" t="s">
        <v>24</v>
      </c>
      <c r="G7">
        <f>VLOOKUP(F7,选手工资!$A:$T,13,FALSE)</f>
        <v>6.5</v>
      </c>
      <c r="H7" t="s">
        <v>88</v>
      </c>
      <c r="I7">
        <v>4</v>
      </c>
      <c r="J7">
        <v>12</v>
      </c>
      <c r="K7">
        <v>4</v>
      </c>
      <c r="L7">
        <v>9</v>
      </c>
      <c r="M7">
        <v>10</v>
      </c>
      <c r="N7" s="1">
        <v>0.778</v>
      </c>
      <c r="O7" s="1">
        <v>0.255</v>
      </c>
      <c r="P7" s="2">
        <v>6323</v>
      </c>
      <c r="Q7">
        <v>23</v>
      </c>
      <c r="R7">
        <v>0</v>
      </c>
      <c r="S7">
        <v>300</v>
      </c>
      <c r="T7">
        <v>393</v>
      </c>
      <c r="U7">
        <v>1</v>
      </c>
      <c r="V7">
        <v>0</v>
      </c>
      <c r="W7">
        <v>0</v>
      </c>
      <c r="X7" s="2">
        <v>15630</v>
      </c>
      <c r="Y7">
        <v>0</v>
      </c>
      <c r="Z7" s="2">
        <v>20593</v>
      </c>
      <c r="AA7" s="1">
        <v>0.201</v>
      </c>
      <c r="AB7">
        <v>430</v>
      </c>
      <c r="AC7" s="3">
        <v>0.159027777777778</v>
      </c>
      <c r="AD7">
        <v>4</v>
      </c>
      <c r="AE7" s="2">
        <v>1620</v>
      </c>
      <c r="AF7">
        <v>5</v>
      </c>
      <c r="AG7">
        <v>550</v>
      </c>
      <c r="AH7">
        <v>2</v>
      </c>
      <c r="AI7">
        <v>4</v>
      </c>
    </row>
    <row r="8" spans="1:35">
      <c r="A8">
        <v>260519</v>
      </c>
      <c r="B8">
        <v>4</v>
      </c>
      <c r="C8" t="s">
        <v>76</v>
      </c>
      <c r="D8" t="s">
        <v>84</v>
      </c>
      <c r="E8">
        <v>18</v>
      </c>
      <c r="F8" t="s">
        <v>13</v>
      </c>
      <c r="G8">
        <f>VLOOKUP(F8,选手工资!$A:$T,13,FALSE)</f>
        <v>11</v>
      </c>
      <c r="H8" t="s">
        <v>85</v>
      </c>
      <c r="I8">
        <v>2</v>
      </c>
      <c r="J8">
        <v>14</v>
      </c>
      <c r="K8">
        <v>5</v>
      </c>
      <c r="L8">
        <v>8</v>
      </c>
      <c r="M8">
        <v>5</v>
      </c>
      <c r="N8" s="1">
        <v>0.556</v>
      </c>
      <c r="O8" s="1">
        <v>0.192</v>
      </c>
      <c r="P8" s="2">
        <v>8132</v>
      </c>
      <c r="Q8">
        <v>88</v>
      </c>
      <c r="R8">
        <v>8</v>
      </c>
      <c r="S8">
        <v>378</v>
      </c>
      <c r="T8">
        <v>478</v>
      </c>
      <c r="U8">
        <v>1</v>
      </c>
      <c r="V8">
        <v>0</v>
      </c>
      <c r="W8">
        <v>0</v>
      </c>
      <c r="X8" s="2">
        <v>11798</v>
      </c>
      <c r="Y8">
        <v>0</v>
      </c>
      <c r="Z8" s="2">
        <v>27026</v>
      </c>
      <c r="AA8" s="1">
        <v>0.332</v>
      </c>
      <c r="AB8" s="2">
        <v>1020</v>
      </c>
      <c r="AC8" s="3">
        <v>0.188888888888889</v>
      </c>
      <c r="AD8">
        <v>3</v>
      </c>
      <c r="AE8" s="2">
        <v>3154</v>
      </c>
      <c r="AF8">
        <v>7</v>
      </c>
      <c r="AG8">
        <v>80</v>
      </c>
      <c r="AH8">
        <v>0</v>
      </c>
      <c r="AI8">
        <v>0</v>
      </c>
    </row>
    <row r="9" spans="1:35">
      <c r="A9">
        <v>260519</v>
      </c>
      <c r="B9">
        <v>4</v>
      </c>
      <c r="C9" t="s">
        <v>76</v>
      </c>
      <c r="D9" t="s">
        <v>84</v>
      </c>
      <c r="E9">
        <v>18</v>
      </c>
      <c r="F9" t="s">
        <v>15</v>
      </c>
      <c r="G9">
        <f>VLOOKUP(F9,选手工资!$A:$T,13,FALSE)</f>
        <v>8</v>
      </c>
      <c r="H9" t="s">
        <v>118</v>
      </c>
      <c r="I9">
        <v>1</v>
      </c>
      <c r="J9">
        <v>11</v>
      </c>
      <c r="K9">
        <v>0</v>
      </c>
      <c r="L9">
        <v>10</v>
      </c>
      <c r="M9">
        <v>5</v>
      </c>
      <c r="N9" s="1">
        <v>0.278</v>
      </c>
      <c r="O9" s="1">
        <v>0.09</v>
      </c>
      <c r="P9" s="2">
        <v>6107</v>
      </c>
      <c r="Q9">
        <v>74</v>
      </c>
      <c r="R9">
        <v>8</v>
      </c>
      <c r="S9">
        <v>275</v>
      </c>
      <c r="T9">
        <v>327</v>
      </c>
      <c r="U9">
        <v>1</v>
      </c>
      <c r="V9">
        <v>0</v>
      </c>
      <c r="W9">
        <v>0</v>
      </c>
      <c r="X9" s="2">
        <v>5531</v>
      </c>
      <c r="Y9">
        <v>0</v>
      </c>
      <c r="Z9" s="2">
        <v>21507</v>
      </c>
      <c r="AA9" s="1">
        <v>0.2</v>
      </c>
      <c r="AB9">
        <v>803</v>
      </c>
      <c r="AC9" s="3">
        <v>0.202777777777778</v>
      </c>
      <c r="AD9">
        <v>8</v>
      </c>
      <c r="AE9" s="2">
        <v>2934</v>
      </c>
      <c r="AF9">
        <v>6</v>
      </c>
      <c r="AG9">
        <v>50</v>
      </c>
      <c r="AH9">
        <v>0</v>
      </c>
      <c r="AI9">
        <v>0</v>
      </c>
    </row>
    <row r="10" spans="1:35">
      <c r="A10">
        <v>260519</v>
      </c>
      <c r="B10">
        <v>4</v>
      </c>
      <c r="C10" t="s">
        <v>76</v>
      </c>
      <c r="D10" t="s">
        <v>84</v>
      </c>
      <c r="E10">
        <v>18</v>
      </c>
      <c r="F10" t="s">
        <v>36</v>
      </c>
      <c r="G10">
        <f>VLOOKUP(F10,选手工资!$A:$T,13,FALSE)</f>
        <v>3</v>
      </c>
      <c r="H10" t="s">
        <v>133</v>
      </c>
      <c r="I10">
        <v>5</v>
      </c>
      <c r="J10">
        <v>9</v>
      </c>
      <c r="K10">
        <v>0</v>
      </c>
      <c r="L10">
        <v>10</v>
      </c>
      <c r="M10">
        <v>8</v>
      </c>
      <c r="N10" s="1">
        <v>0.444</v>
      </c>
      <c r="O10" s="1">
        <v>0.099</v>
      </c>
      <c r="P10" s="2">
        <v>3588</v>
      </c>
      <c r="Q10">
        <v>24</v>
      </c>
      <c r="R10">
        <v>2</v>
      </c>
      <c r="S10">
        <v>181</v>
      </c>
      <c r="T10">
        <v>243</v>
      </c>
      <c r="U10">
        <v>1</v>
      </c>
      <c r="V10">
        <v>0</v>
      </c>
      <c r="W10">
        <v>0</v>
      </c>
      <c r="X10" s="2">
        <v>6099</v>
      </c>
      <c r="Y10">
        <v>0</v>
      </c>
      <c r="Z10" s="2">
        <v>12576</v>
      </c>
      <c r="AA10" s="1">
        <v>0.156</v>
      </c>
      <c r="AB10">
        <v>368</v>
      </c>
      <c r="AC10" s="3">
        <v>0.178472222222222</v>
      </c>
      <c r="AD10">
        <v>10</v>
      </c>
      <c r="AE10" s="2">
        <v>1022</v>
      </c>
      <c r="AF10">
        <v>4</v>
      </c>
      <c r="AG10">
        <v>350</v>
      </c>
      <c r="AH10">
        <v>4</v>
      </c>
      <c r="AI10">
        <v>4</v>
      </c>
    </row>
    <row r="11" spans="1:35">
      <c r="A11">
        <v>260519</v>
      </c>
      <c r="B11">
        <v>4</v>
      </c>
      <c r="C11" t="s">
        <v>76</v>
      </c>
      <c r="D11" t="s">
        <v>84</v>
      </c>
      <c r="E11">
        <v>18</v>
      </c>
      <c r="F11" t="s">
        <v>18</v>
      </c>
      <c r="G11">
        <f>VLOOKUP(F11,选手工资!$A:$T,13,FALSE)</f>
        <v>6.5</v>
      </c>
      <c r="H11" t="s">
        <v>240</v>
      </c>
      <c r="I11">
        <v>3</v>
      </c>
      <c r="J11">
        <v>15</v>
      </c>
      <c r="K11">
        <v>8</v>
      </c>
      <c r="L11">
        <v>7</v>
      </c>
      <c r="M11">
        <v>5</v>
      </c>
      <c r="N11" s="1">
        <v>0.722</v>
      </c>
      <c r="O11" s="1">
        <v>0.363</v>
      </c>
      <c r="P11" s="2">
        <v>9943</v>
      </c>
      <c r="Q11">
        <v>99</v>
      </c>
      <c r="R11">
        <v>6</v>
      </c>
      <c r="S11">
        <v>439</v>
      </c>
      <c r="T11">
        <v>529</v>
      </c>
      <c r="U11">
        <v>0</v>
      </c>
      <c r="V11">
        <v>0</v>
      </c>
      <c r="W11">
        <v>0</v>
      </c>
      <c r="X11" s="2">
        <v>22279</v>
      </c>
      <c r="Y11">
        <v>107</v>
      </c>
      <c r="Z11" s="2">
        <v>14217</v>
      </c>
      <c r="AA11" s="1">
        <v>0.236</v>
      </c>
      <c r="AB11">
        <v>939</v>
      </c>
      <c r="AC11" s="3">
        <v>0.172916666666667</v>
      </c>
      <c r="AD11">
        <v>7</v>
      </c>
      <c r="AE11" s="2">
        <v>3814</v>
      </c>
      <c r="AF11">
        <v>8</v>
      </c>
      <c r="AG11">
        <v>0</v>
      </c>
      <c r="AH11">
        <v>0</v>
      </c>
      <c r="AI11">
        <v>0</v>
      </c>
    </row>
    <row r="14" spans="1:35">
      <c r="A14" t="s">
        <v>90</v>
      </c>
      <c r="B14" s="4">
        <v>8817403607</v>
      </c>
      <c r="C14" s="4"/>
    </row>
    <row r="15" spans="1:35">
      <c r="A15" t="s">
        <v>91</v>
      </c>
      <c r="B15" s="5" t="s">
        <v>241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选手工资</vt:lpstr>
      <vt:lpstr>260505-1</vt:lpstr>
      <vt:lpstr>260505-2</vt:lpstr>
      <vt:lpstr>260506-1</vt:lpstr>
      <vt:lpstr>260506-2</vt:lpstr>
      <vt:lpstr>260506-3</vt:lpstr>
      <vt:lpstr>260506-4</vt:lpstr>
      <vt:lpstr>260507-1</vt:lpstr>
      <vt:lpstr>260507-2</vt:lpstr>
      <vt:lpstr>260507-3</vt:lpstr>
      <vt:lpstr>260508-1</vt:lpstr>
      <vt:lpstr>260508-2</vt:lpstr>
      <vt:lpstr>260508-3</vt:lpstr>
      <vt:lpstr>260509-1</vt:lpstr>
      <vt:lpstr>260509-2</vt:lpstr>
      <vt:lpstr>260509-3</vt:lpstr>
      <vt:lpstr>260510-1</vt:lpstr>
      <vt:lpstr>260510-2</vt:lpstr>
      <vt:lpstr>260510-3</vt:lpstr>
      <vt:lpstr>260511-1</vt:lpstr>
      <vt:lpstr>260511-2</vt:lpstr>
      <vt:lpstr>260511-3</vt:lpstr>
      <vt:lpstr>260511-4</vt:lpstr>
      <vt:lpstr>260512-1</vt:lpstr>
      <vt:lpstr>260512-2</vt:lpstr>
      <vt:lpstr>260512-3</vt:lpstr>
      <vt:lpstr>260512-4</vt:lpstr>
      <vt:lpstr>260512-5</vt:lpstr>
      <vt:lpstr>260513-1</vt:lpstr>
      <vt:lpstr>260513-2</vt:lpstr>
      <vt:lpstr>260513-3</vt:lpstr>
      <vt:lpstr>260513-4</vt:lpstr>
      <vt:lpstr>260514-1</vt:lpstr>
      <vt:lpstr>260514-2</vt:lpstr>
      <vt:lpstr>260514-3</vt:lpstr>
      <vt:lpstr>260514-4</vt:lpstr>
      <vt:lpstr>260515-1</vt:lpstr>
      <vt:lpstr>250515-2</vt:lpstr>
      <vt:lpstr>250515-3</vt:lpstr>
      <vt:lpstr>250515-4</vt:lpstr>
      <vt:lpstr>260515-5</vt:lpstr>
      <vt:lpstr>260516-1</vt:lpstr>
      <vt:lpstr>260516-2</vt:lpstr>
      <vt:lpstr>260516-3</vt:lpstr>
      <vt:lpstr>260516-4</vt:lpstr>
      <vt:lpstr>260517-1</vt:lpstr>
      <vt:lpstr>260517-2</vt:lpstr>
      <vt:lpstr>260517-3</vt:lpstr>
      <vt:lpstr>260517-4</vt:lpstr>
      <vt:lpstr>260519-1</vt:lpstr>
      <vt:lpstr>260519-2</vt:lpstr>
      <vt:lpstr>260519-3</vt:lpstr>
      <vt:lpstr>260519-4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</dc:creator>
  <cp:lastModifiedBy>WPS_1670323668</cp:lastModifiedBy>
  <dcterms:created xsi:type="dcterms:W3CDTF">2026-05-10T01:24:00Z</dcterms:created>
  <dcterms:modified xsi:type="dcterms:W3CDTF">2026-05-20T15:55:00Z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3D03D4D4FFE3771E46D70A6A385311A3_43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