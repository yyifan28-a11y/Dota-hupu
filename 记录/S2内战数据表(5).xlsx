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40" firstSheet="8" activeTab="18"/>
  </bookViews>
  <sheets>
    <sheet name="选手工资" sheetId="3" r:id="rId1"/>
    <sheet name="260505-1" sheetId="1" state="hidden" r:id="rId2"/>
    <sheet name="260505-2" sheetId="2" state="hidden" r:id="rId3"/>
    <sheet name="260506-1" sheetId="4" state="hidden" r:id="rId4"/>
    <sheet name="260506-2" sheetId="5" state="hidden" r:id="rId5"/>
    <sheet name="260506-3" sheetId="6" state="hidden" r:id="rId6"/>
    <sheet name="260506-4" sheetId="7" state="hidden" r:id="rId7"/>
    <sheet name="260507-1" sheetId="8" state="hidden" r:id="rId8"/>
    <sheet name="260507-2" sheetId="9" state="hidden" r:id="rId9"/>
    <sheet name="260507-3" sheetId="10" state="hidden" r:id="rId10"/>
    <sheet name="260508-1" sheetId="11" r:id="rId11"/>
    <sheet name="260508-2" sheetId="12" r:id="rId12"/>
    <sheet name="260508-3" sheetId="13" r:id="rId13"/>
    <sheet name="260509-1" sheetId="14" r:id="rId14"/>
    <sheet name="260509-2" sheetId="15" r:id="rId15"/>
    <sheet name="260509-3" sheetId="16" r:id="rId16"/>
    <sheet name="260510-1" sheetId="17" r:id="rId17"/>
    <sheet name="260510-2" sheetId="18" r:id="rId18"/>
    <sheet name="260510-3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<sst xmlns="http://schemas.openxmlformats.org/spreadsheetml/2006/main" count="1436" uniqueCount="171">
  <si>
    <t>选手</t>
  </si>
  <si>
    <t>初始工资</t>
  </si>
  <si>
    <t>更新工资0507</t>
  </si>
  <si>
    <t>更新工资0508</t>
  </si>
  <si>
    <t>更新工资0509</t>
  </si>
  <si>
    <t>D</t>
  </si>
  <si>
    <t>ldxy</t>
  </si>
  <si>
    <t>马忠</t>
  </si>
  <si>
    <t>郝哥</t>
  </si>
  <si>
    <t>关羽</t>
  </si>
  <si>
    <t>cac</t>
  </si>
  <si>
    <t>xian</t>
  </si>
  <si>
    <t>阵容</t>
  </si>
  <si>
    <t>zjw</t>
  </si>
  <si>
    <t>jin</t>
  </si>
  <si>
    <t>小孩</t>
  </si>
  <si>
    <t>教练</t>
  </si>
  <si>
    <t>valar</t>
  </si>
  <si>
    <t>博洋</t>
  </si>
  <si>
    <t>机器人</t>
  </si>
  <si>
    <t>老虎</t>
  </si>
  <si>
    <t>记者</t>
  </si>
  <si>
    <t>老板</t>
  </si>
  <si>
    <t>机器猫</t>
  </si>
  <si>
    <t>呆叔</t>
  </si>
  <si>
    <t>odst</t>
  </si>
  <si>
    <t>猪猪</t>
  </si>
  <si>
    <t>xinq</t>
  </si>
  <si>
    <t>胖蟹</t>
  </si>
  <si>
    <t>好人</t>
  </si>
  <si>
    <t>坤坤</t>
  </si>
  <si>
    <t>小队</t>
  </si>
  <si>
    <t>之后</t>
  </si>
  <si>
    <t>日期</t>
  </si>
  <si>
    <t>场次</t>
  </si>
  <si>
    <t>阵营</t>
  </si>
  <si>
    <t>结果</t>
  </si>
  <si>
    <t>队伍击杀</t>
  </si>
  <si>
    <t>选手工资</t>
  </si>
  <si>
    <t>英雄</t>
  </si>
  <si>
    <t>位置</t>
  </si>
  <si>
    <t>等级</t>
  </si>
  <si>
    <t>K</t>
  </si>
  <si>
    <t>A</t>
  </si>
  <si>
    <t>参战率</t>
  </si>
  <si>
    <t>输出占比</t>
  </si>
  <si>
    <t>财产</t>
  </si>
  <si>
    <t>正补</t>
  </si>
  <si>
    <t>反补</t>
  </si>
  <si>
    <t>GPM</t>
  </si>
  <si>
    <t>XPM</t>
  </si>
  <si>
    <t>赏金神符</t>
  </si>
  <si>
    <t>治疗</t>
  </si>
  <si>
    <t>英雄伤害</t>
  </si>
  <si>
    <t>建筑伤害</t>
  </si>
  <si>
    <t>承伤减免前</t>
  </si>
  <si>
    <t>伤害减免比例</t>
  </si>
  <si>
    <t>死亡损失金钱</t>
  </si>
  <si>
    <t>死亡时间</t>
  </si>
  <si>
    <t>挑选顺位</t>
  </si>
  <si>
    <t>10分钟财产</t>
  </si>
  <si>
    <t>10分钟等级</t>
  </si>
  <si>
    <t>辅助道具金钱</t>
  </si>
  <si>
    <t>堆野数</t>
  </si>
  <si>
    <t>反眼数</t>
  </si>
  <si>
    <t>夜魇</t>
  </si>
  <si>
    <t>胜</t>
  </si>
  <si>
    <t>帕克</t>
  </si>
  <si>
    <t>沉默术士</t>
  </si>
  <si>
    <t>破晓辰星</t>
  </si>
  <si>
    <t>编织者</t>
  </si>
  <si>
    <t>小小</t>
  </si>
  <si>
    <t>天辉</t>
  </si>
  <si>
    <t>负</t>
  </si>
  <si>
    <t>虚无之灵</t>
  </si>
  <si>
    <t>德鲁伊</t>
  </si>
  <si>
    <t>全能骑士</t>
  </si>
  <si>
    <t>电炎绝手</t>
  </si>
  <si>
    <t>司夜刺客</t>
  </si>
  <si>
    <t>比赛ID</t>
  </si>
  <si>
    <t>比赛时长</t>
  </si>
  <si>
    <t>51：45</t>
  </si>
  <si>
    <t>主宰</t>
  </si>
  <si>
    <t>干扰者</t>
  </si>
  <si>
    <t>森海飞霞</t>
  </si>
  <si>
    <t>瘟疫法师</t>
  </si>
  <si>
    <t>潮汐猎人</t>
  </si>
  <si>
    <t>莱恩</t>
  </si>
  <si>
    <t>41：31</t>
  </si>
  <si>
    <t>前哨</t>
  </si>
  <si>
    <t>沙王</t>
  </si>
  <si>
    <t>莉娜</t>
  </si>
  <si>
    <t>灰烬之灵</t>
  </si>
  <si>
    <t>钢背兽</t>
  </si>
  <si>
    <t>冥魂大帝</t>
  </si>
  <si>
    <t>天涯墨客</t>
  </si>
  <si>
    <t>ODST</t>
  </si>
  <si>
    <t>暗影恶魔</t>
  </si>
  <si>
    <t>31:18</t>
  </si>
  <si>
    <t>兽王</t>
  </si>
  <si>
    <t>幽鬼</t>
  </si>
  <si>
    <t>齐天大圣</t>
  </si>
  <si>
    <t>邪影芳灵</t>
  </si>
  <si>
    <t>31:00</t>
  </si>
  <si>
    <t>蝙蝠骑士</t>
  </si>
  <si>
    <t>祈求者</t>
  </si>
  <si>
    <t>28:38</t>
  </si>
  <si>
    <t>痛苦女王</t>
  </si>
  <si>
    <t>虚空假面</t>
  </si>
  <si>
    <t>食人魔魔法师</t>
  </si>
  <si>
    <t>魅惑魔女</t>
  </si>
  <si>
    <t>杰奇洛</t>
  </si>
  <si>
    <t>56:25</t>
  </si>
  <si>
    <t>祸乱之源</t>
  </si>
  <si>
    <t>撼地者</t>
  </si>
  <si>
    <t>凯</t>
  </si>
  <si>
    <t>裂魂人</t>
  </si>
  <si>
    <t>36:07</t>
  </si>
  <si>
    <t>米拉娜</t>
  </si>
  <si>
    <t>伐木机</t>
  </si>
  <si>
    <t>复仇之魂</t>
  </si>
  <si>
    <t>树精卫士</t>
  </si>
  <si>
    <t>炼金术士</t>
  </si>
  <si>
    <t>工程师</t>
  </si>
  <si>
    <t>59:13</t>
  </si>
  <si>
    <t>朗戈</t>
  </si>
  <si>
    <t>斯拉克</t>
  </si>
  <si>
    <t>不朽尸王</t>
  </si>
  <si>
    <t>32:39</t>
  </si>
  <si>
    <t>露娜</t>
  </si>
  <si>
    <t>水晶室女</t>
  </si>
  <si>
    <t>拉比克</t>
  </si>
  <si>
    <t>35:19</t>
  </si>
  <si>
    <t>石鳞剑士</t>
  </si>
  <si>
    <t>宙斯</t>
  </si>
  <si>
    <t>暗夜魔王</t>
  </si>
  <si>
    <t>螃蟹</t>
  </si>
  <si>
    <t>风行者</t>
  </si>
  <si>
    <t>58:44</t>
  </si>
  <si>
    <t>昆卡</t>
  </si>
  <si>
    <t>斯拉达</t>
  </si>
  <si>
    <t>冥界亚龙</t>
  </si>
  <si>
    <t>56:51</t>
  </si>
  <si>
    <t>斧王</t>
  </si>
  <si>
    <t>暗影萨满</t>
  </si>
  <si>
    <t>50:13</t>
  </si>
  <si>
    <t>艾欧</t>
  </si>
  <si>
    <t>琼英碧灵</t>
  </si>
  <si>
    <t>克林克兹</t>
  </si>
  <si>
    <t>远古冰魄</t>
  </si>
  <si>
    <t>巨牙海民</t>
  </si>
  <si>
    <t>47:14</t>
  </si>
  <si>
    <t>幻影刺客</t>
  </si>
  <si>
    <t>56:21</t>
  </si>
  <si>
    <t>兽</t>
  </si>
  <si>
    <t>力丸</t>
  </si>
  <si>
    <t>帕格纳</t>
  </si>
  <si>
    <t>30:10</t>
  </si>
  <si>
    <t>巫医</t>
  </si>
  <si>
    <t>剧毒术士</t>
  </si>
  <si>
    <t>巫妖</t>
  </si>
  <si>
    <t>发条技师</t>
  </si>
  <si>
    <t>34:09</t>
  </si>
  <si>
    <t>玛尔斯</t>
  </si>
  <si>
    <t>哈斯卡</t>
  </si>
  <si>
    <t>幻影长矛手</t>
  </si>
  <si>
    <t>矮人直升机</t>
  </si>
  <si>
    <t>敌法师</t>
  </si>
  <si>
    <t>孽主</t>
  </si>
  <si>
    <t>光之守卫</t>
  </si>
  <si>
    <t>35:26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</si>
</sst>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sz val="10"/>
      <color rgb="FFFFFFFF"/>
      <name val="PingFang SC Regular"/>
      <charset val="134"/>
    </font>
    <font>
      <sz val="11"/>
      <color rgb="FF000000"/>
      <name val="PingFang SC Regular"/>
      <charset val="134"/>
    </font>
    <font>
      <sz val="11"/>
      <name val="Carlito"/>
      <charset val="134"/>
    </font>
    <font>
      <sz val="11"/>
      <color theme="0"/>
      <name val="PingFang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4" fillId="0" borderId="0"/>
  </cellStyleXfs>
  <cellXfs count="14">
    <xf numFmtId="0" fontId="0" fillId="0" borderId="0" xfId="0">
      <alignment vertical="center"/>
    </xf>
    <xf numFmtId="0" fontId="0" fillId="0" borderId="0" xfId="0" applyFont="1">
      <alignment vertical="center"/>
    </xf>
    <xf numFmtId="10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workbookViewId="0">
      <selection activeCell="E2" sqref="E2"/>
    </sheetView>
  </sheetViews>
  <sheetFormatPr defaultColWidth="9.25" defaultRowHeight="16.8" outlineLevelCol="4"/>
  <cols>
    <col min="1" max="1" width="13" style="6" customWidth="1"/>
    <col min="2" max="2" width="10.25" style="7" customWidth="1"/>
    <col min="3" max="3" width="16.2307692307692" style="7" customWidth="1"/>
    <col min="4" max="5" width="16.3846153846154" style="7" customWidth="1"/>
    <col min="6" max="16384" width="9.25" style="7"/>
  </cols>
  <sheetData>
    <row r="1" spans="1:5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</row>
    <row r="2" spans="1:5">
      <c r="A2" s="8" t="s">
        <v>5</v>
      </c>
      <c r="B2" s="10">
        <v>10</v>
      </c>
      <c r="C2" s="10">
        <v>9.5</v>
      </c>
      <c r="D2" s="11">
        <v>8.5</v>
      </c>
      <c r="E2" s="12">
        <v>7.5</v>
      </c>
    </row>
    <row r="3" spans="1:5">
      <c r="A3" s="8" t="s">
        <v>6</v>
      </c>
      <c r="B3" s="10">
        <v>8</v>
      </c>
      <c r="C3" s="10">
        <v>7.5</v>
      </c>
      <c r="D3" s="11">
        <v>6.5</v>
      </c>
      <c r="E3" s="12">
        <v>5.5</v>
      </c>
    </row>
    <row r="4" spans="1:5">
      <c r="A4" s="8" t="s">
        <v>7</v>
      </c>
      <c r="B4" s="10">
        <v>8</v>
      </c>
      <c r="C4" s="10">
        <v>8.5</v>
      </c>
      <c r="D4" s="11">
        <v>8</v>
      </c>
      <c r="E4" s="12">
        <v>8</v>
      </c>
    </row>
    <row r="5" spans="1:5">
      <c r="A5" s="8" t="s">
        <v>8</v>
      </c>
      <c r="B5" s="10">
        <v>7.5</v>
      </c>
      <c r="C5" s="10">
        <v>7.5</v>
      </c>
      <c r="D5" s="11">
        <v>8.5</v>
      </c>
      <c r="E5" s="12">
        <v>9.5</v>
      </c>
    </row>
    <row r="6" spans="1:5">
      <c r="A6" s="8" t="s">
        <v>9</v>
      </c>
      <c r="B6" s="10">
        <v>7.5</v>
      </c>
      <c r="C6" s="10">
        <v>8</v>
      </c>
      <c r="D6" s="11">
        <v>8.5</v>
      </c>
      <c r="E6" s="12">
        <v>8.5</v>
      </c>
    </row>
    <row r="7" spans="1:5">
      <c r="A7" s="8" t="s">
        <v>10</v>
      </c>
      <c r="B7" s="10">
        <v>7.5</v>
      </c>
      <c r="C7" s="10">
        <v>7.5</v>
      </c>
      <c r="D7" s="11">
        <v>7.5</v>
      </c>
      <c r="E7" s="12">
        <v>6.5</v>
      </c>
    </row>
    <row r="8" spans="1:5">
      <c r="A8" s="8" t="s">
        <v>11</v>
      </c>
      <c r="B8" s="10">
        <v>7.5</v>
      </c>
      <c r="C8" s="10">
        <v>10.5</v>
      </c>
      <c r="D8" s="11">
        <v>10.5</v>
      </c>
      <c r="E8" s="12">
        <v>10.5</v>
      </c>
    </row>
    <row r="9" spans="1:5">
      <c r="A9" s="8" t="s">
        <v>12</v>
      </c>
      <c r="B9" s="10">
        <v>7</v>
      </c>
      <c r="C9" s="10">
        <v>7</v>
      </c>
      <c r="D9" s="11">
        <v>6</v>
      </c>
      <c r="E9" s="12">
        <v>5.5</v>
      </c>
    </row>
    <row r="10" spans="1:5">
      <c r="A10" s="13" t="s">
        <v>13</v>
      </c>
      <c r="B10" s="10">
        <v>7</v>
      </c>
      <c r="C10" s="10">
        <v>7</v>
      </c>
      <c r="D10" s="11">
        <v>7</v>
      </c>
      <c r="E10" s="12">
        <v>7</v>
      </c>
    </row>
    <row r="11" spans="1:5">
      <c r="A11" s="8" t="s">
        <v>14</v>
      </c>
      <c r="B11" s="10">
        <v>6.5</v>
      </c>
      <c r="C11" s="10">
        <v>6.5</v>
      </c>
      <c r="D11" s="11">
        <v>6</v>
      </c>
      <c r="E11" s="12">
        <v>5</v>
      </c>
    </row>
    <row r="12" spans="1:5">
      <c r="A12" s="8" t="s">
        <v>15</v>
      </c>
      <c r="B12" s="10">
        <v>6</v>
      </c>
      <c r="C12" s="10">
        <v>5.5</v>
      </c>
      <c r="D12" s="11">
        <v>7</v>
      </c>
      <c r="E12" s="12">
        <v>8</v>
      </c>
    </row>
    <row r="13" spans="1:5">
      <c r="A13" s="8" t="s">
        <v>16</v>
      </c>
      <c r="B13" s="10">
        <v>6</v>
      </c>
      <c r="C13" s="10">
        <v>6</v>
      </c>
      <c r="D13" s="11">
        <v>5</v>
      </c>
      <c r="E13" s="12">
        <v>5</v>
      </c>
    </row>
    <row r="14" spans="1:5">
      <c r="A14" s="8" t="s">
        <v>17</v>
      </c>
      <c r="B14" s="10">
        <v>5.5</v>
      </c>
      <c r="C14" s="10">
        <v>6</v>
      </c>
      <c r="D14" s="11">
        <v>7</v>
      </c>
      <c r="E14" s="12">
        <v>6.5</v>
      </c>
    </row>
    <row r="15" spans="1:5">
      <c r="A15" s="8" t="s">
        <v>18</v>
      </c>
      <c r="B15" s="10">
        <v>5.5</v>
      </c>
      <c r="C15" s="10">
        <v>6.5</v>
      </c>
      <c r="D15" s="11">
        <v>7.5</v>
      </c>
      <c r="E15" s="12">
        <v>7.5</v>
      </c>
    </row>
    <row r="16" spans="1:5">
      <c r="A16" s="8" t="s">
        <v>19</v>
      </c>
      <c r="B16" s="10">
        <v>5</v>
      </c>
      <c r="C16" s="10">
        <v>5</v>
      </c>
      <c r="D16" s="11">
        <v>5.5</v>
      </c>
      <c r="E16" s="12">
        <v>5.5</v>
      </c>
    </row>
    <row r="17" spans="1:5">
      <c r="A17" s="8" t="s">
        <v>20</v>
      </c>
      <c r="B17" s="10">
        <v>4.5</v>
      </c>
      <c r="C17" s="10">
        <v>5</v>
      </c>
      <c r="D17" s="11">
        <v>5.5</v>
      </c>
      <c r="E17" s="12">
        <v>6.5</v>
      </c>
    </row>
    <row r="18" spans="1:5">
      <c r="A18" s="8" t="s">
        <v>21</v>
      </c>
      <c r="B18" s="10">
        <v>4.5</v>
      </c>
      <c r="C18" s="10">
        <v>4</v>
      </c>
      <c r="D18" s="11">
        <v>3</v>
      </c>
      <c r="E18" s="12">
        <v>3</v>
      </c>
    </row>
    <row r="19" spans="1:5">
      <c r="A19" s="8" t="s">
        <v>22</v>
      </c>
      <c r="B19" s="10">
        <v>4</v>
      </c>
      <c r="C19" s="10">
        <v>4</v>
      </c>
      <c r="D19" s="11">
        <v>4.5</v>
      </c>
      <c r="E19" s="12">
        <v>4.5</v>
      </c>
    </row>
    <row r="20" spans="1:5">
      <c r="A20" s="8" t="s">
        <v>23</v>
      </c>
      <c r="B20" s="10">
        <v>4</v>
      </c>
      <c r="C20" s="10">
        <v>4</v>
      </c>
      <c r="D20" s="11">
        <v>4</v>
      </c>
      <c r="E20" s="12">
        <v>4.5</v>
      </c>
    </row>
    <row r="21" spans="1:5">
      <c r="A21" s="13" t="s">
        <v>24</v>
      </c>
      <c r="B21" s="10">
        <v>4</v>
      </c>
      <c r="C21" s="10">
        <v>4</v>
      </c>
      <c r="D21" s="11">
        <v>4</v>
      </c>
      <c r="E21" s="12">
        <v>4.5</v>
      </c>
    </row>
    <row r="22" spans="1:5">
      <c r="A22" s="8" t="s">
        <v>25</v>
      </c>
      <c r="B22" s="10">
        <v>3.5</v>
      </c>
      <c r="C22" s="10">
        <v>3.5</v>
      </c>
      <c r="D22" s="11">
        <v>3.5</v>
      </c>
      <c r="E22" s="12">
        <v>3.5</v>
      </c>
    </row>
    <row r="23" spans="1:5">
      <c r="A23" s="8" t="s">
        <v>26</v>
      </c>
      <c r="B23" s="10">
        <v>3</v>
      </c>
      <c r="C23" s="10">
        <v>4</v>
      </c>
      <c r="D23" s="11">
        <v>5</v>
      </c>
      <c r="E23" s="12">
        <v>5</v>
      </c>
    </row>
    <row r="24" spans="1:5">
      <c r="A24" s="8" t="s">
        <v>27</v>
      </c>
      <c r="B24" s="10">
        <v>3</v>
      </c>
      <c r="C24" s="10">
        <v>2</v>
      </c>
      <c r="D24" s="11">
        <v>1.5</v>
      </c>
      <c r="E24" s="12">
        <v>1.5</v>
      </c>
    </row>
    <row r="25" spans="1:5">
      <c r="A25" s="8" t="s">
        <v>28</v>
      </c>
      <c r="B25" s="10">
        <v>3</v>
      </c>
      <c r="C25" s="10">
        <v>3</v>
      </c>
      <c r="D25" s="11">
        <v>2.5</v>
      </c>
      <c r="E25" s="12">
        <v>2</v>
      </c>
    </row>
    <row r="26" spans="1:5">
      <c r="A26" s="8" t="s">
        <v>29</v>
      </c>
      <c r="B26" s="10">
        <v>3</v>
      </c>
      <c r="C26" s="10">
        <v>3</v>
      </c>
      <c r="D26" s="11">
        <v>3</v>
      </c>
      <c r="E26" s="12">
        <v>3</v>
      </c>
    </row>
    <row r="27" spans="1:5">
      <c r="A27" s="8" t="s">
        <v>30</v>
      </c>
      <c r="B27" s="10">
        <v>2</v>
      </c>
      <c r="C27" s="10">
        <v>2</v>
      </c>
      <c r="D27" s="11">
        <v>2</v>
      </c>
      <c r="E27" s="12">
        <v>2</v>
      </c>
    </row>
    <row r="28" spans="1:5">
      <c r="A28" s="8" t="s">
        <v>31</v>
      </c>
      <c r="B28" s="10">
        <v>2</v>
      </c>
      <c r="C28" s="10">
        <v>2</v>
      </c>
      <c r="D28" s="11">
        <v>1.5</v>
      </c>
      <c r="E28" s="12">
        <v>2.5</v>
      </c>
    </row>
    <row r="29" spans="1:5">
      <c r="A29" s="8" t="s">
        <v>32</v>
      </c>
      <c r="B29" s="10">
        <v>1</v>
      </c>
      <c r="C29" s="10">
        <v>1</v>
      </c>
      <c r="D29" s="11">
        <v>3</v>
      </c>
      <c r="E29" s="12">
        <v>3</v>
      </c>
    </row>
    <row r="32" spans="1:5">
      <c r="B32" s="9" t="s">
        <v>1</v>
      </c>
    </row>
    <row r="33" spans="2:2">
      <c r="B33" s="10">
        <v>10</v>
      </c>
    </row>
    <row r="34" spans="2:2">
      <c r="B34" s="10">
        <v>8</v>
      </c>
    </row>
    <row r="35" spans="2:2">
      <c r="B35" s="10">
        <v>8</v>
      </c>
    </row>
    <row r="36" spans="2:2">
      <c r="B36" s="10">
        <v>7.5</v>
      </c>
    </row>
    <row r="37" spans="2:2">
      <c r="B37" s="10">
        <v>7.5</v>
      </c>
    </row>
    <row r="38" spans="2:2">
      <c r="B38" s="10">
        <v>7.5</v>
      </c>
    </row>
    <row r="39" spans="2:2">
      <c r="B39" s="10">
        <v>7.5</v>
      </c>
    </row>
    <row r="40" spans="2:2">
      <c r="B40" s="10">
        <v>7</v>
      </c>
    </row>
    <row r="41" spans="2:2">
      <c r="B41" s="10">
        <v>7</v>
      </c>
    </row>
    <row r="42" spans="2:2">
      <c r="B42" s="10">
        <v>6.5</v>
      </c>
    </row>
    <row r="43" spans="2:2">
      <c r="B43" s="10">
        <v>6</v>
      </c>
    </row>
    <row r="44" spans="2:2">
      <c r="B44" s="10">
        <v>6</v>
      </c>
    </row>
    <row r="45" spans="2:2">
      <c r="B45" s="10">
        <v>5.5</v>
      </c>
    </row>
    <row r="46" spans="2:2">
      <c r="B46" s="10">
        <v>5.5</v>
      </c>
    </row>
    <row r="47" spans="2:2">
      <c r="B47" s="10">
        <v>5</v>
      </c>
    </row>
    <row r="48" spans="2:2">
      <c r="B48" s="10">
        <v>4.5</v>
      </c>
    </row>
    <row r="49" spans="2:2">
      <c r="B49" s="10">
        <v>4.5</v>
      </c>
    </row>
    <row r="50" spans="2:2">
      <c r="B50" s="10">
        <v>4</v>
      </c>
    </row>
    <row r="51" spans="2:2">
      <c r="B51" s="10">
        <v>4</v>
      </c>
    </row>
    <row r="52" spans="2:2">
      <c r="B52" s="10">
        <v>4</v>
      </c>
    </row>
    <row r="53" spans="2:2">
      <c r="B53" s="10">
        <v>3.5</v>
      </c>
    </row>
    <row r="54" spans="2:2">
      <c r="B54" s="10">
        <v>3</v>
      </c>
    </row>
    <row r="55" spans="2:2">
      <c r="B55" s="10">
        <v>3</v>
      </c>
    </row>
    <row r="56" spans="2:2">
      <c r="B56" s="10">
        <v>3</v>
      </c>
    </row>
    <row r="57" spans="2:2">
      <c r="B57" s="10">
        <v>3</v>
      </c>
    </row>
    <row r="58" spans="2:2">
      <c r="B58" s="10">
        <v>2</v>
      </c>
    </row>
    <row r="59" spans="2:2">
      <c r="B59" s="10">
        <v>2</v>
      </c>
    </row>
    <row r="60" spans="2:2">
      <c r="B60" s="1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5"/>
  <sheetViews>
    <sheetView workbookViewId="0">
      <pane xSplit="8" ySplit="1" topLeftCell="K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cols>
    <col min="1" max="1" width="7.75" customWidth="1"/>
    <col min="2" max="2" width="9.5" customWidth="1"/>
    <col min="8" max="9" width="12.75" customWidth="1"/>
    <col min="30" max="31" width="12.5" customWidth="1"/>
    <col min="32" max="32" width="14" customWidth="1"/>
  </cols>
  <sheetData>
    <row r="1" spans="1:34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s="1" t="s">
        <v>62</v>
      </c>
      <c r="AG1" s="1" t="s">
        <v>63</v>
      </c>
      <c r="AH1" s="1" t="s">
        <v>64</v>
      </c>
    </row>
    <row r="2" spans="1:34">
      <c r="A2">
        <v>260505</v>
      </c>
      <c r="B2">
        <v>1</v>
      </c>
      <c r="C2" t="s">
        <v>65</v>
      </c>
      <c r="D2" t="s">
        <v>66</v>
      </c>
      <c r="E2">
        <v>47</v>
      </c>
      <c r="F2" t="s">
        <v>11</v>
      </c>
      <c r="G2">
        <v>7.5</v>
      </c>
      <c r="H2" t="s">
        <v>67</v>
      </c>
      <c r="I2">
        <v>2</v>
      </c>
      <c r="J2">
        <v>28</v>
      </c>
      <c r="K2">
        <v>22</v>
      </c>
      <c r="L2">
        <v>3</v>
      </c>
      <c r="M2">
        <v>17</v>
      </c>
      <c r="N2" s="2">
        <v>0.83</v>
      </c>
      <c r="O2" s="2">
        <v>0.388</v>
      </c>
      <c r="P2">
        <v>36027</v>
      </c>
      <c r="Q2">
        <v>399</v>
      </c>
      <c r="R2">
        <v>15</v>
      </c>
      <c r="S2">
        <v>761</v>
      </c>
      <c r="T2">
        <v>1027</v>
      </c>
      <c r="U2">
        <v>7</v>
      </c>
      <c r="V2">
        <v>106</v>
      </c>
      <c r="W2">
        <v>104915</v>
      </c>
      <c r="X2">
        <v>11628</v>
      </c>
      <c r="Y2">
        <v>66052</v>
      </c>
      <c r="Z2" s="2">
        <v>0.508</v>
      </c>
      <c r="AA2">
        <v>1639</v>
      </c>
      <c r="AB2" s="3">
        <v>0.160416666666667</v>
      </c>
      <c r="AC2">
        <v>4</v>
      </c>
      <c r="AD2">
        <v>4161</v>
      </c>
      <c r="AE2">
        <v>8</v>
      </c>
      <c r="AF2">
        <v>180</v>
      </c>
      <c r="AG2">
        <v>2</v>
      </c>
      <c r="AH2">
        <v>2</v>
      </c>
    </row>
    <row r="3" spans="1:34">
      <c r="A3">
        <v>260505</v>
      </c>
      <c r="B3">
        <v>1</v>
      </c>
      <c r="C3" t="s">
        <v>65</v>
      </c>
      <c r="D3" t="s">
        <v>66</v>
      </c>
      <c r="E3">
        <v>47</v>
      </c>
      <c r="F3" t="s">
        <v>20</v>
      </c>
      <c r="G3">
        <v>4.5</v>
      </c>
      <c r="H3" t="s">
        <v>68</v>
      </c>
      <c r="I3">
        <v>5</v>
      </c>
      <c r="J3">
        <v>23</v>
      </c>
      <c r="K3">
        <v>4</v>
      </c>
      <c r="L3">
        <v>9</v>
      </c>
      <c r="M3">
        <v>32</v>
      </c>
      <c r="N3" s="2">
        <v>0.766</v>
      </c>
      <c r="O3" s="2">
        <v>0.09</v>
      </c>
      <c r="P3">
        <v>16637</v>
      </c>
      <c r="Q3">
        <v>65</v>
      </c>
      <c r="R3">
        <v>1</v>
      </c>
      <c r="S3">
        <v>355</v>
      </c>
      <c r="T3">
        <v>603</v>
      </c>
      <c r="U3">
        <v>2</v>
      </c>
      <c r="V3">
        <v>0</v>
      </c>
      <c r="W3">
        <v>24220</v>
      </c>
      <c r="X3">
        <v>1497</v>
      </c>
      <c r="Y3">
        <v>50639</v>
      </c>
      <c r="Z3" s="2">
        <v>0.49</v>
      </c>
      <c r="AA3">
        <v>1006</v>
      </c>
      <c r="AB3" s="3">
        <v>0.243055555555556</v>
      </c>
      <c r="AC3">
        <v>7</v>
      </c>
      <c r="AD3">
        <v>2264</v>
      </c>
      <c r="AE3">
        <v>5</v>
      </c>
      <c r="AF3">
        <v>1100</v>
      </c>
      <c r="AG3">
        <v>0</v>
      </c>
      <c r="AH3">
        <v>9</v>
      </c>
    </row>
    <row r="4" spans="1:34">
      <c r="A4">
        <v>260505</v>
      </c>
      <c r="B4">
        <v>1</v>
      </c>
      <c r="C4" t="s">
        <v>65</v>
      </c>
      <c r="D4" t="s">
        <v>66</v>
      </c>
      <c r="E4">
        <v>47</v>
      </c>
      <c r="F4" t="s">
        <v>23</v>
      </c>
      <c r="G4">
        <v>4</v>
      </c>
      <c r="H4" t="s">
        <v>69</v>
      </c>
      <c r="I4">
        <v>3</v>
      </c>
      <c r="J4">
        <v>28</v>
      </c>
      <c r="K4">
        <v>9</v>
      </c>
      <c r="L4">
        <v>7</v>
      </c>
      <c r="M4">
        <v>24</v>
      </c>
      <c r="N4" s="2">
        <v>0.702</v>
      </c>
      <c r="O4" s="2">
        <v>0.185</v>
      </c>
      <c r="P4">
        <v>25961</v>
      </c>
      <c r="Q4">
        <v>361</v>
      </c>
      <c r="R4">
        <v>0</v>
      </c>
      <c r="S4">
        <v>607</v>
      </c>
      <c r="T4">
        <v>1044</v>
      </c>
      <c r="U4">
        <v>1</v>
      </c>
      <c r="V4">
        <v>8496</v>
      </c>
      <c r="W4">
        <v>49924</v>
      </c>
      <c r="X4">
        <v>7935</v>
      </c>
      <c r="Y4">
        <v>104990</v>
      </c>
      <c r="Z4" s="2">
        <v>0.538</v>
      </c>
      <c r="AA4">
        <v>1744</v>
      </c>
      <c r="AB4" s="3">
        <v>0.223611111111111</v>
      </c>
      <c r="AC4">
        <v>3</v>
      </c>
      <c r="AD4">
        <v>3493</v>
      </c>
      <c r="AE4">
        <v>6</v>
      </c>
      <c r="AF4">
        <v>130</v>
      </c>
      <c r="AG4">
        <v>0</v>
      </c>
      <c r="AH4">
        <v>1</v>
      </c>
    </row>
    <row r="5" spans="1:34">
      <c r="A5">
        <v>260505</v>
      </c>
      <c r="B5">
        <v>1</v>
      </c>
      <c r="C5" t="s">
        <v>65</v>
      </c>
      <c r="D5" t="s">
        <v>66</v>
      </c>
      <c r="E5">
        <v>47</v>
      </c>
      <c r="F5" t="s">
        <v>18</v>
      </c>
      <c r="G5">
        <v>5.5</v>
      </c>
      <c r="H5" t="s">
        <v>70</v>
      </c>
      <c r="I5">
        <v>1</v>
      </c>
      <c r="J5">
        <v>27</v>
      </c>
      <c r="K5">
        <v>7</v>
      </c>
      <c r="L5">
        <v>8</v>
      </c>
      <c r="M5">
        <v>13</v>
      </c>
      <c r="N5" s="2">
        <v>0.426</v>
      </c>
      <c r="O5" s="2">
        <v>0.199</v>
      </c>
      <c r="P5">
        <v>27056</v>
      </c>
      <c r="Q5">
        <v>412</v>
      </c>
      <c r="R5">
        <v>6</v>
      </c>
      <c r="S5">
        <v>597</v>
      </c>
      <c r="T5">
        <v>846</v>
      </c>
      <c r="U5">
        <v>1</v>
      </c>
      <c r="V5">
        <v>0</v>
      </c>
      <c r="W5">
        <v>53882</v>
      </c>
      <c r="X5">
        <v>3443</v>
      </c>
      <c r="Y5">
        <v>96703</v>
      </c>
      <c r="Z5" s="2">
        <v>0.499</v>
      </c>
      <c r="AA5">
        <v>2292</v>
      </c>
      <c r="AB5" s="3">
        <v>0.321527777777778</v>
      </c>
      <c r="AC5">
        <v>8</v>
      </c>
      <c r="AD5">
        <v>3424</v>
      </c>
      <c r="AE5">
        <v>5</v>
      </c>
      <c r="AF5">
        <v>80</v>
      </c>
      <c r="AG5">
        <v>2</v>
      </c>
      <c r="AH5">
        <v>1</v>
      </c>
    </row>
    <row r="6" spans="1:34">
      <c r="A6">
        <v>260505</v>
      </c>
      <c r="B6">
        <v>1</v>
      </c>
      <c r="C6" t="s">
        <v>65</v>
      </c>
      <c r="D6" t="s">
        <v>66</v>
      </c>
      <c r="E6">
        <v>47</v>
      </c>
      <c r="F6" t="s">
        <v>17</v>
      </c>
      <c r="G6">
        <v>5.5</v>
      </c>
      <c r="H6" t="s">
        <v>71</v>
      </c>
      <c r="I6">
        <v>4</v>
      </c>
      <c r="J6">
        <v>24</v>
      </c>
      <c r="K6">
        <v>4</v>
      </c>
      <c r="L6">
        <v>5</v>
      </c>
      <c r="M6">
        <v>32</v>
      </c>
      <c r="N6" s="2">
        <v>0.766</v>
      </c>
      <c r="O6" s="2">
        <v>0.139</v>
      </c>
      <c r="P6">
        <v>14787</v>
      </c>
      <c r="Q6">
        <v>68</v>
      </c>
      <c r="R6">
        <v>3</v>
      </c>
      <c r="S6">
        <v>337</v>
      </c>
      <c r="T6">
        <v>612</v>
      </c>
      <c r="U6">
        <v>3</v>
      </c>
      <c r="V6">
        <v>0</v>
      </c>
      <c r="W6">
        <v>37470</v>
      </c>
      <c r="X6">
        <v>1924</v>
      </c>
      <c r="Y6">
        <v>61566</v>
      </c>
      <c r="Z6" s="2">
        <v>0.402</v>
      </c>
      <c r="AA6">
        <v>758</v>
      </c>
      <c r="AB6" s="3">
        <v>0.177083333333333</v>
      </c>
      <c r="AC6">
        <v>10</v>
      </c>
      <c r="AD6">
        <v>1615</v>
      </c>
      <c r="AE6">
        <v>5</v>
      </c>
      <c r="AF6">
        <v>1980</v>
      </c>
      <c r="AG6">
        <v>2</v>
      </c>
      <c r="AH6">
        <v>7</v>
      </c>
    </row>
    <row r="7" spans="1:34">
      <c r="A7">
        <v>260505</v>
      </c>
      <c r="B7">
        <v>1</v>
      </c>
      <c r="C7" t="s">
        <v>72</v>
      </c>
      <c r="D7" t="s">
        <v>73</v>
      </c>
      <c r="E7">
        <v>32</v>
      </c>
      <c r="F7" t="s">
        <v>6</v>
      </c>
      <c r="G7">
        <v>8</v>
      </c>
      <c r="H7" t="s">
        <v>74</v>
      </c>
      <c r="I7">
        <v>2</v>
      </c>
      <c r="J7">
        <v>27</v>
      </c>
      <c r="K7">
        <v>12</v>
      </c>
      <c r="L7">
        <v>8</v>
      </c>
      <c r="M7">
        <v>12</v>
      </c>
      <c r="N7" s="2">
        <v>0.75</v>
      </c>
      <c r="O7" s="2">
        <v>0.247</v>
      </c>
      <c r="P7">
        <v>23869</v>
      </c>
      <c r="Q7">
        <v>364</v>
      </c>
      <c r="R7">
        <v>13</v>
      </c>
      <c r="S7">
        <v>572</v>
      </c>
      <c r="T7">
        <v>894</v>
      </c>
      <c r="U7">
        <v>5</v>
      </c>
      <c r="V7">
        <v>0</v>
      </c>
      <c r="W7">
        <v>47380</v>
      </c>
      <c r="X7">
        <v>645</v>
      </c>
      <c r="Y7">
        <v>108592</v>
      </c>
      <c r="Z7" s="2">
        <v>0.566</v>
      </c>
      <c r="AA7">
        <v>2102</v>
      </c>
      <c r="AB7" s="3">
        <v>0.273611111111111</v>
      </c>
      <c r="AC7">
        <v>6</v>
      </c>
      <c r="AD7">
        <v>3201</v>
      </c>
      <c r="AE7">
        <v>8</v>
      </c>
      <c r="AF7">
        <v>370</v>
      </c>
      <c r="AG7">
        <v>0</v>
      </c>
      <c r="AH7">
        <v>1</v>
      </c>
    </row>
    <row r="8" spans="1:34">
      <c r="A8">
        <v>260505</v>
      </c>
      <c r="B8">
        <v>1</v>
      </c>
      <c r="C8" t="s">
        <v>72</v>
      </c>
      <c r="D8" t="s">
        <v>73</v>
      </c>
      <c r="E8">
        <v>32</v>
      </c>
      <c r="F8" t="s">
        <v>5</v>
      </c>
      <c r="G8">
        <v>10</v>
      </c>
      <c r="H8" t="s">
        <v>75</v>
      </c>
      <c r="I8">
        <v>1</v>
      </c>
      <c r="J8">
        <v>24</v>
      </c>
      <c r="K8">
        <v>8</v>
      </c>
      <c r="L8">
        <v>2</v>
      </c>
      <c r="M8">
        <v>10</v>
      </c>
      <c r="N8" s="2">
        <v>0.563</v>
      </c>
      <c r="O8" s="2">
        <v>0.385</v>
      </c>
      <c r="P8">
        <v>35934</v>
      </c>
      <c r="Q8">
        <v>627</v>
      </c>
      <c r="R8">
        <v>2</v>
      </c>
      <c r="S8">
        <v>716</v>
      </c>
      <c r="T8">
        <v>658</v>
      </c>
      <c r="U8">
        <v>2</v>
      </c>
      <c r="V8">
        <v>0</v>
      </c>
      <c r="W8">
        <v>73917</v>
      </c>
      <c r="X8">
        <v>4579</v>
      </c>
      <c r="Y8">
        <v>184578</v>
      </c>
      <c r="Z8" s="2">
        <v>0.457</v>
      </c>
      <c r="AA8">
        <v>1005</v>
      </c>
      <c r="AB8" s="3">
        <v>0.129166666666667</v>
      </c>
      <c r="AC8">
        <v>9</v>
      </c>
      <c r="AD8">
        <v>4216</v>
      </c>
      <c r="AE8">
        <v>7</v>
      </c>
      <c r="AF8">
        <v>0</v>
      </c>
      <c r="AG8">
        <v>2</v>
      </c>
      <c r="AH8">
        <v>2</v>
      </c>
    </row>
    <row r="9" spans="1:34">
      <c r="A9">
        <v>260505</v>
      </c>
      <c r="B9">
        <v>1</v>
      </c>
      <c r="C9" t="s">
        <v>72</v>
      </c>
      <c r="D9" t="s">
        <v>73</v>
      </c>
      <c r="E9">
        <v>32</v>
      </c>
      <c r="F9" t="s">
        <v>21</v>
      </c>
      <c r="G9">
        <v>5.5</v>
      </c>
      <c r="H9" t="s">
        <v>76</v>
      </c>
      <c r="I9">
        <v>3</v>
      </c>
      <c r="J9">
        <v>23</v>
      </c>
      <c r="K9">
        <v>5</v>
      </c>
      <c r="L9">
        <v>11</v>
      </c>
      <c r="M9">
        <v>14</v>
      </c>
      <c r="N9" s="2">
        <v>0.594</v>
      </c>
      <c r="O9" s="2">
        <v>0.17</v>
      </c>
      <c r="P9">
        <v>17644</v>
      </c>
      <c r="Q9">
        <v>244</v>
      </c>
      <c r="R9">
        <v>20</v>
      </c>
      <c r="S9">
        <v>399</v>
      </c>
      <c r="T9">
        <v>595</v>
      </c>
      <c r="U9">
        <v>2</v>
      </c>
      <c r="V9">
        <v>4835</v>
      </c>
      <c r="W9">
        <v>32615</v>
      </c>
      <c r="X9">
        <v>994</v>
      </c>
      <c r="Y9">
        <v>101283</v>
      </c>
      <c r="Z9" s="2">
        <v>0.479</v>
      </c>
      <c r="AA9">
        <v>3165</v>
      </c>
      <c r="AB9" s="3">
        <v>0.399305555555556</v>
      </c>
      <c r="AC9">
        <v>5</v>
      </c>
      <c r="AD9">
        <v>3672</v>
      </c>
      <c r="AE9">
        <v>6</v>
      </c>
      <c r="AF9">
        <v>0</v>
      </c>
      <c r="AG9">
        <v>0</v>
      </c>
      <c r="AH9">
        <v>3</v>
      </c>
    </row>
    <row r="10" spans="1:34">
      <c r="A10">
        <v>260505</v>
      </c>
      <c r="B10">
        <v>1</v>
      </c>
      <c r="C10" t="s">
        <v>72</v>
      </c>
      <c r="D10" t="s">
        <v>73</v>
      </c>
      <c r="E10">
        <v>32</v>
      </c>
      <c r="F10" t="s">
        <v>31</v>
      </c>
      <c r="G10">
        <v>2</v>
      </c>
      <c r="H10" t="s">
        <v>77</v>
      </c>
      <c r="I10">
        <v>5</v>
      </c>
      <c r="J10">
        <v>18</v>
      </c>
      <c r="K10">
        <v>4</v>
      </c>
      <c r="L10">
        <v>9</v>
      </c>
      <c r="M10">
        <v>16</v>
      </c>
      <c r="N10" s="2">
        <v>0.625</v>
      </c>
      <c r="O10" s="2">
        <v>0.086</v>
      </c>
      <c r="P10">
        <v>13266</v>
      </c>
      <c r="Q10">
        <v>76</v>
      </c>
      <c r="R10">
        <v>1</v>
      </c>
      <c r="S10">
        <v>308</v>
      </c>
      <c r="T10">
        <v>372</v>
      </c>
      <c r="U10">
        <v>2</v>
      </c>
      <c r="V10">
        <v>4742</v>
      </c>
      <c r="W10">
        <v>16448</v>
      </c>
      <c r="X10">
        <v>189</v>
      </c>
      <c r="Y10">
        <v>51471</v>
      </c>
      <c r="Z10" s="2">
        <v>0.434</v>
      </c>
      <c r="AA10">
        <v>1309</v>
      </c>
      <c r="AB10" s="3">
        <v>0.272916666666667</v>
      </c>
      <c r="AC10">
        <v>2</v>
      </c>
      <c r="AD10">
        <v>1709</v>
      </c>
      <c r="AE10">
        <v>6</v>
      </c>
      <c r="AF10">
        <v>1520</v>
      </c>
      <c r="AG10">
        <v>0</v>
      </c>
      <c r="AH10">
        <v>9</v>
      </c>
    </row>
    <row r="11" spans="1:34">
      <c r="A11">
        <v>260505</v>
      </c>
      <c r="B11">
        <v>1</v>
      </c>
      <c r="C11" t="s">
        <v>72</v>
      </c>
      <c r="D11" t="s">
        <v>73</v>
      </c>
      <c r="E11">
        <v>32</v>
      </c>
      <c r="F11" t="s">
        <v>27</v>
      </c>
      <c r="G11">
        <v>3</v>
      </c>
      <c r="H11" t="s">
        <v>78</v>
      </c>
      <c r="I11">
        <v>4</v>
      </c>
      <c r="J11">
        <v>21</v>
      </c>
      <c r="K11">
        <v>3</v>
      </c>
      <c r="L11">
        <v>18</v>
      </c>
      <c r="M11">
        <v>15</v>
      </c>
      <c r="N11" s="2">
        <v>0.563</v>
      </c>
      <c r="O11" s="2">
        <v>0.113</v>
      </c>
      <c r="P11">
        <v>10344</v>
      </c>
      <c r="Q11">
        <v>22</v>
      </c>
      <c r="R11">
        <v>1</v>
      </c>
      <c r="S11">
        <v>277</v>
      </c>
      <c r="T11">
        <v>472</v>
      </c>
      <c r="U11">
        <v>2</v>
      </c>
      <c r="V11">
        <v>0</v>
      </c>
      <c r="W11">
        <v>21762</v>
      </c>
      <c r="X11">
        <v>0</v>
      </c>
      <c r="Y11">
        <v>81604</v>
      </c>
      <c r="Z11" s="2">
        <v>0.495</v>
      </c>
      <c r="AA11">
        <v>1914</v>
      </c>
      <c r="AB11" s="3">
        <v>0.513194444444444</v>
      </c>
      <c r="AC11">
        <v>1</v>
      </c>
      <c r="AD11">
        <v>1296</v>
      </c>
      <c r="AE11">
        <v>5</v>
      </c>
      <c r="AF11">
        <v>850</v>
      </c>
      <c r="AG11">
        <v>2</v>
      </c>
      <c r="AH11">
        <v>5</v>
      </c>
    </row>
    <row r="14" spans="1:34">
      <c r="A14" s="1" t="s">
        <v>79</v>
      </c>
      <c r="B14" s="4">
        <v>8798951370</v>
      </c>
      <c r="C14" s="4"/>
    </row>
    <row r="15" spans="1:34">
      <c r="A15" s="1" t="s">
        <v>80</v>
      </c>
      <c r="B15" s="5" t="s">
        <v>81</v>
      </c>
    </row>
  </sheetData>
  <sortState ref="A2:AE11">
    <sortCondition ref="C2" descending="1"/>
  </sortState>
  <mergeCells count="1">
    <mergeCell ref="B14:C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5"/>
  <sheetViews>
    <sheetView workbookViewId="0">
      <pane xSplit="8" ySplit="1" topLeftCell="L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cols>
    <col min="30" max="31" width="12.5" customWidth="1"/>
  </cols>
  <sheetData>
    <row r="1" spans="1:34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s="1" t="s">
        <v>62</v>
      </c>
      <c r="AG1" s="1" t="s">
        <v>63</v>
      </c>
      <c r="AH1" s="1" t="s">
        <v>64</v>
      </c>
    </row>
    <row r="2" spans="1:34">
      <c r="A2">
        <v>260505</v>
      </c>
      <c r="B2">
        <v>2</v>
      </c>
      <c r="C2" t="s">
        <v>72</v>
      </c>
      <c r="D2" t="s">
        <v>66</v>
      </c>
      <c r="E2">
        <v>36</v>
      </c>
      <c r="F2" t="s">
        <v>18</v>
      </c>
      <c r="G2">
        <v>5.5</v>
      </c>
      <c r="H2" t="s">
        <v>82</v>
      </c>
      <c r="I2">
        <v>1</v>
      </c>
      <c r="J2">
        <v>25</v>
      </c>
      <c r="K2">
        <v>12</v>
      </c>
      <c r="L2">
        <v>4</v>
      </c>
      <c r="M2">
        <v>11</v>
      </c>
      <c r="N2" s="2">
        <v>0.639</v>
      </c>
      <c r="O2" s="2">
        <v>0.318</v>
      </c>
      <c r="P2">
        <v>29477</v>
      </c>
      <c r="Q2">
        <v>435</v>
      </c>
      <c r="R2">
        <v>5</v>
      </c>
      <c r="S2">
        <v>744</v>
      </c>
      <c r="T2">
        <v>878</v>
      </c>
      <c r="U2">
        <v>2</v>
      </c>
      <c r="V2">
        <v>17731</v>
      </c>
      <c r="W2">
        <v>45321</v>
      </c>
      <c r="X2">
        <v>16646</v>
      </c>
      <c r="Y2">
        <v>39358</v>
      </c>
      <c r="Z2" s="2">
        <v>0.467</v>
      </c>
      <c r="AA2">
        <v>1312</v>
      </c>
      <c r="AB2" s="3">
        <v>0.15625</v>
      </c>
      <c r="AC2">
        <v>5</v>
      </c>
      <c r="AD2">
        <v>4307</v>
      </c>
      <c r="AE2">
        <v>7</v>
      </c>
      <c r="AF2">
        <v>0</v>
      </c>
      <c r="AG2">
        <v>2</v>
      </c>
      <c r="AH2">
        <v>0</v>
      </c>
    </row>
    <row r="3" spans="1:34">
      <c r="A3">
        <v>260505</v>
      </c>
      <c r="B3">
        <v>2</v>
      </c>
      <c r="C3" t="s">
        <v>72</v>
      </c>
      <c r="D3" t="s">
        <v>66</v>
      </c>
      <c r="E3">
        <v>36</v>
      </c>
      <c r="F3" t="s">
        <v>11</v>
      </c>
      <c r="G3">
        <v>7.5</v>
      </c>
      <c r="H3" t="s">
        <v>74</v>
      </c>
      <c r="I3">
        <v>2</v>
      </c>
      <c r="J3">
        <v>25</v>
      </c>
      <c r="K3">
        <v>16</v>
      </c>
      <c r="L3">
        <v>2</v>
      </c>
      <c r="M3">
        <v>13</v>
      </c>
      <c r="N3" s="2">
        <v>0.806</v>
      </c>
      <c r="O3" s="2">
        <v>0.309</v>
      </c>
      <c r="P3">
        <v>26879</v>
      </c>
      <c r="Q3">
        <v>325</v>
      </c>
      <c r="R3">
        <v>10</v>
      </c>
      <c r="S3">
        <v>689</v>
      </c>
      <c r="T3">
        <v>853</v>
      </c>
      <c r="U3">
        <v>6</v>
      </c>
      <c r="V3">
        <v>0</v>
      </c>
      <c r="W3">
        <v>43978</v>
      </c>
      <c r="X3">
        <v>8718</v>
      </c>
      <c r="Y3">
        <v>58323</v>
      </c>
      <c r="Z3" s="2">
        <v>0.51</v>
      </c>
      <c r="AA3">
        <v>675</v>
      </c>
      <c r="AB3" s="3">
        <v>0.0847222222222222</v>
      </c>
      <c r="AC3">
        <v>2</v>
      </c>
      <c r="AD3">
        <v>3256</v>
      </c>
      <c r="AE3">
        <v>7</v>
      </c>
      <c r="AF3">
        <v>130</v>
      </c>
      <c r="AG3">
        <v>1</v>
      </c>
      <c r="AH3">
        <v>0</v>
      </c>
    </row>
    <row r="4" spans="1:34">
      <c r="A4">
        <v>260505</v>
      </c>
      <c r="B4">
        <v>2</v>
      </c>
      <c r="C4" t="s">
        <v>72</v>
      </c>
      <c r="D4" t="s">
        <v>66</v>
      </c>
      <c r="E4">
        <v>36</v>
      </c>
      <c r="F4" t="s">
        <v>21</v>
      </c>
      <c r="G4">
        <v>4.5</v>
      </c>
      <c r="H4" t="s">
        <v>76</v>
      </c>
      <c r="I4">
        <v>3</v>
      </c>
      <c r="J4">
        <v>21</v>
      </c>
      <c r="K4">
        <v>4</v>
      </c>
      <c r="L4">
        <v>5</v>
      </c>
      <c r="M4">
        <v>10</v>
      </c>
      <c r="N4" s="2">
        <v>0.389</v>
      </c>
      <c r="O4" s="2">
        <v>0.157</v>
      </c>
      <c r="P4">
        <v>17223</v>
      </c>
      <c r="Q4">
        <v>170</v>
      </c>
      <c r="R4">
        <v>3</v>
      </c>
      <c r="S4">
        <v>436</v>
      </c>
      <c r="T4">
        <v>616</v>
      </c>
      <c r="U4">
        <v>0</v>
      </c>
      <c r="V4">
        <v>3329</v>
      </c>
      <c r="W4">
        <v>22332</v>
      </c>
      <c r="X4">
        <v>3930</v>
      </c>
      <c r="Y4">
        <v>47941</v>
      </c>
      <c r="Z4" s="2">
        <v>0.446</v>
      </c>
      <c r="AA4">
        <v>1110</v>
      </c>
      <c r="AB4" s="3">
        <v>0.155555555555556</v>
      </c>
      <c r="AC4">
        <v>6</v>
      </c>
      <c r="AD4">
        <v>3082</v>
      </c>
      <c r="AE4">
        <v>6</v>
      </c>
      <c r="AF4">
        <v>80</v>
      </c>
      <c r="AG4">
        <v>0</v>
      </c>
      <c r="AH4">
        <v>0</v>
      </c>
    </row>
    <row r="5" spans="1:34">
      <c r="A5">
        <v>260505</v>
      </c>
      <c r="B5">
        <v>2</v>
      </c>
      <c r="C5" t="s">
        <v>72</v>
      </c>
      <c r="D5" t="s">
        <v>66</v>
      </c>
      <c r="E5">
        <v>36</v>
      </c>
      <c r="F5" t="s">
        <v>20</v>
      </c>
      <c r="G5">
        <v>4.5</v>
      </c>
      <c r="H5" t="s">
        <v>83</v>
      </c>
      <c r="I5">
        <v>5</v>
      </c>
      <c r="J5">
        <v>18</v>
      </c>
      <c r="K5">
        <v>4</v>
      </c>
      <c r="L5">
        <v>8</v>
      </c>
      <c r="M5">
        <v>21</v>
      </c>
      <c r="N5" s="2">
        <v>0.694</v>
      </c>
      <c r="O5" s="2">
        <v>0.099</v>
      </c>
      <c r="P5">
        <v>14099</v>
      </c>
      <c r="Q5">
        <v>46</v>
      </c>
      <c r="R5">
        <v>0</v>
      </c>
      <c r="S5">
        <v>354</v>
      </c>
      <c r="T5">
        <v>447</v>
      </c>
      <c r="U5">
        <v>1</v>
      </c>
      <c r="V5">
        <v>0</v>
      </c>
      <c r="W5">
        <v>14146</v>
      </c>
      <c r="X5">
        <v>140</v>
      </c>
      <c r="Y5">
        <v>25944</v>
      </c>
      <c r="Z5" s="2">
        <v>0.467</v>
      </c>
      <c r="AA5">
        <v>1521</v>
      </c>
      <c r="AB5" s="3">
        <v>0.224305555555556</v>
      </c>
      <c r="AC5">
        <v>1</v>
      </c>
      <c r="AD5">
        <v>2546</v>
      </c>
      <c r="AE5">
        <v>5</v>
      </c>
      <c r="AF5">
        <v>950</v>
      </c>
      <c r="AG5">
        <v>1</v>
      </c>
      <c r="AH5">
        <v>5</v>
      </c>
    </row>
    <row r="6" spans="1:34">
      <c r="A6">
        <v>260505</v>
      </c>
      <c r="B6">
        <v>2</v>
      </c>
      <c r="C6" t="s">
        <v>72</v>
      </c>
      <c r="D6" t="s">
        <v>66</v>
      </c>
      <c r="E6">
        <v>36</v>
      </c>
      <c r="F6" t="s">
        <v>16</v>
      </c>
      <c r="G6">
        <v>6</v>
      </c>
      <c r="H6" t="s">
        <v>84</v>
      </c>
      <c r="I6">
        <v>4</v>
      </c>
      <c r="J6">
        <v>20</v>
      </c>
      <c r="K6">
        <v>0</v>
      </c>
      <c r="L6">
        <v>4</v>
      </c>
      <c r="M6">
        <v>24</v>
      </c>
      <c r="N6" s="2">
        <v>0.667</v>
      </c>
      <c r="O6" s="2">
        <v>0.117</v>
      </c>
      <c r="P6">
        <v>12186</v>
      </c>
      <c r="Q6">
        <v>57</v>
      </c>
      <c r="R6">
        <v>2</v>
      </c>
      <c r="S6">
        <v>326</v>
      </c>
      <c r="T6">
        <v>530</v>
      </c>
      <c r="U6">
        <v>5</v>
      </c>
      <c r="V6">
        <v>5209</v>
      </c>
      <c r="W6">
        <v>16726</v>
      </c>
      <c r="X6">
        <v>429</v>
      </c>
      <c r="Y6">
        <v>20596</v>
      </c>
      <c r="Z6" s="2">
        <v>0.381</v>
      </c>
      <c r="AA6">
        <v>237</v>
      </c>
      <c r="AB6" s="3">
        <v>0.0784722222222222</v>
      </c>
      <c r="AC6">
        <v>9</v>
      </c>
      <c r="AD6">
        <v>1590</v>
      </c>
      <c r="AE6">
        <v>5</v>
      </c>
      <c r="AF6">
        <v>1830</v>
      </c>
      <c r="AG6">
        <v>1</v>
      </c>
      <c r="AH6">
        <v>10</v>
      </c>
    </row>
    <row r="7" spans="1:34">
      <c r="A7">
        <v>260505</v>
      </c>
      <c r="B7">
        <v>2</v>
      </c>
      <c r="C7" t="s">
        <v>65</v>
      </c>
      <c r="D7" t="s">
        <v>73</v>
      </c>
      <c r="E7">
        <v>23</v>
      </c>
      <c r="F7" t="s">
        <v>6</v>
      </c>
      <c r="G7">
        <v>8</v>
      </c>
      <c r="H7" t="s">
        <v>85</v>
      </c>
      <c r="I7">
        <v>2</v>
      </c>
      <c r="J7">
        <v>21</v>
      </c>
      <c r="K7">
        <v>13</v>
      </c>
      <c r="L7">
        <v>10</v>
      </c>
      <c r="M7">
        <v>3</v>
      </c>
      <c r="N7" s="2">
        <v>0.696</v>
      </c>
      <c r="O7" s="2">
        <v>0.402</v>
      </c>
      <c r="P7">
        <v>18588</v>
      </c>
      <c r="Q7">
        <v>299</v>
      </c>
      <c r="R7">
        <v>4</v>
      </c>
      <c r="S7">
        <v>551</v>
      </c>
      <c r="T7">
        <v>581</v>
      </c>
      <c r="U7">
        <v>1</v>
      </c>
      <c r="V7">
        <v>4085</v>
      </c>
      <c r="W7">
        <v>42145</v>
      </c>
      <c r="X7">
        <v>1299</v>
      </c>
      <c r="Y7">
        <v>66879</v>
      </c>
      <c r="Z7" s="2">
        <v>0.428</v>
      </c>
      <c r="AA7">
        <v>2948</v>
      </c>
      <c r="AB7" s="3">
        <v>0.378472222222222</v>
      </c>
      <c r="AC7">
        <v>7</v>
      </c>
      <c r="AD7">
        <v>5147</v>
      </c>
      <c r="AE7">
        <v>9</v>
      </c>
      <c r="AF7">
        <v>1000</v>
      </c>
      <c r="AG7">
        <v>4</v>
      </c>
      <c r="AH7">
        <v>4</v>
      </c>
    </row>
    <row r="8" spans="1:34">
      <c r="A8">
        <v>260505</v>
      </c>
      <c r="B8">
        <v>2</v>
      </c>
      <c r="C8" t="s">
        <v>65</v>
      </c>
      <c r="D8" t="s">
        <v>73</v>
      </c>
      <c r="E8">
        <v>23</v>
      </c>
      <c r="F8" t="s">
        <v>5</v>
      </c>
      <c r="G8">
        <v>10</v>
      </c>
      <c r="H8" t="s">
        <v>75</v>
      </c>
      <c r="I8">
        <v>1</v>
      </c>
      <c r="J8">
        <v>23</v>
      </c>
      <c r="K8">
        <v>5</v>
      </c>
      <c r="L8">
        <v>0</v>
      </c>
      <c r="M8">
        <v>9</v>
      </c>
      <c r="N8" s="2">
        <v>0.609</v>
      </c>
      <c r="O8" s="2">
        <v>0.199</v>
      </c>
      <c r="P8">
        <v>29734</v>
      </c>
      <c r="Q8">
        <v>488</v>
      </c>
      <c r="R8">
        <v>9</v>
      </c>
      <c r="S8">
        <v>726</v>
      </c>
      <c r="T8">
        <v>744</v>
      </c>
      <c r="U8">
        <v>2</v>
      </c>
      <c r="V8">
        <v>0</v>
      </c>
      <c r="W8">
        <v>20801</v>
      </c>
      <c r="X8">
        <v>6991</v>
      </c>
      <c r="Y8">
        <v>81751</v>
      </c>
      <c r="Z8" s="2">
        <v>0.446</v>
      </c>
      <c r="AA8">
        <v>0</v>
      </c>
      <c r="AB8" s="3">
        <v>0</v>
      </c>
      <c r="AC8">
        <v>10</v>
      </c>
      <c r="AD8">
        <v>4630</v>
      </c>
      <c r="AE8">
        <v>8</v>
      </c>
      <c r="AF8">
        <v>0</v>
      </c>
      <c r="AG8">
        <v>0</v>
      </c>
      <c r="AH8">
        <v>2</v>
      </c>
    </row>
    <row r="9" spans="1:34">
      <c r="A9">
        <v>260505</v>
      </c>
      <c r="B9">
        <v>2</v>
      </c>
      <c r="C9" t="s">
        <v>65</v>
      </c>
      <c r="D9" t="s">
        <v>73</v>
      </c>
      <c r="E9">
        <v>23</v>
      </c>
      <c r="F9" t="s">
        <v>17</v>
      </c>
      <c r="G9">
        <v>5.5</v>
      </c>
      <c r="H9" t="s">
        <v>86</v>
      </c>
      <c r="I9">
        <v>3</v>
      </c>
      <c r="J9">
        <v>22</v>
      </c>
      <c r="K9">
        <v>2</v>
      </c>
      <c r="L9">
        <v>8</v>
      </c>
      <c r="M9">
        <v>11</v>
      </c>
      <c r="N9" s="2">
        <v>0.565</v>
      </c>
      <c r="O9" s="2">
        <v>0.225</v>
      </c>
      <c r="P9">
        <v>17025</v>
      </c>
      <c r="Q9">
        <v>271</v>
      </c>
      <c r="R9">
        <v>2</v>
      </c>
      <c r="S9">
        <v>448</v>
      </c>
      <c r="T9">
        <v>628</v>
      </c>
      <c r="U9">
        <v>2</v>
      </c>
      <c r="V9">
        <v>0</v>
      </c>
      <c r="W9">
        <v>23539</v>
      </c>
      <c r="X9">
        <v>314</v>
      </c>
      <c r="Y9">
        <v>77516</v>
      </c>
      <c r="Z9" s="2">
        <v>0.607</v>
      </c>
      <c r="AA9">
        <v>1434</v>
      </c>
      <c r="AB9" s="3">
        <v>0.232638888888889</v>
      </c>
      <c r="AC9">
        <v>4</v>
      </c>
      <c r="AD9">
        <v>3685</v>
      </c>
      <c r="AE9">
        <v>6</v>
      </c>
      <c r="AF9">
        <v>0</v>
      </c>
      <c r="AG9">
        <v>4</v>
      </c>
      <c r="AH9">
        <v>3</v>
      </c>
    </row>
    <row r="10" spans="1:34">
      <c r="A10">
        <v>260505</v>
      </c>
      <c r="B10">
        <v>2</v>
      </c>
      <c r="C10" t="s">
        <v>65</v>
      </c>
      <c r="D10" t="s">
        <v>73</v>
      </c>
      <c r="E10">
        <v>23</v>
      </c>
      <c r="F10" t="s">
        <v>31</v>
      </c>
      <c r="G10">
        <v>2</v>
      </c>
      <c r="H10" t="s">
        <v>68</v>
      </c>
      <c r="I10">
        <v>5</v>
      </c>
      <c r="J10">
        <v>17</v>
      </c>
      <c r="K10">
        <v>2</v>
      </c>
      <c r="L10">
        <v>6</v>
      </c>
      <c r="M10">
        <v>10</v>
      </c>
      <c r="N10" s="2">
        <v>0.522</v>
      </c>
      <c r="O10" s="2">
        <v>0.078</v>
      </c>
      <c r="P10">
        <v>9356</v>
      </c>
      <c r="Q10">
        <v>40</v>
      </c>
      <c r="R10">
        <v>4</v>
      </c>
      <c r="S10">
        <v>271</v>
      </c>
      <c r="T10">
        <v>397</v>
      </c>
      <c r="U10">
        <v>1</v>
      </c>
      <c r="V10">
        <v>0</v>
      </c>
      <c r="W10">
        <v>8183</v>
      </c>
      <c r="X10">
        <v>0</v>
      </c>
      <c r="Y10">
        <v>17560</v>
      </c>
      <c r="Z10" s="2">
        <v>0.409</v>
      </c>
      <c r="AA10">
        <v>532</v>
      </c>
      <c r="AB10" s="3">
        <v>0.151388888888889</v>
      </c>
      <c r="AC10">
        <v>3</v>
      </c>
      <c r="AD10">
        <v>1778</v>
      </c>
      <c r="AE10">
        <v>5</v>
      </c>
      <c r="AF10">
        <v>450</v>
      </c>
      <c r="AG10">
        <v>2</v>
      </c>
      <c r="AH10">
        <v>5</v>
      </c>
    </row>
    <row r="11" spans="1:34">
      <c r="A11">
        <v>260505</v>
      </c>
      <c r="B11">
        <v>2</v>
      </c>
      <c r="C11" t="s">
        <v>65</v>
      </c>
      <c r="D11" t="s">
        <v>73</v>
      </c>
      <c r="E11">
        <v>23</v>
      </c>
      <c r="F11" t="s">
        <v>27</v>
      </c>
      <c r="G11">
        <v>3</v>
      </c>
      <c r="H11" t="s">
        <v>87</v>
      </c>
      <c r="I11">
        <v>4</v>
      </c>
      <c r="J11">
        <v>18</v>
      </c>
      <c r="K11">
        <v>1</v>
      </c>
      <c r="L11">
        <v>12</v>
      </c>
      <c r="M11">
        <v>8</v>
      </c>
      <c r="N11" s="2">
        <v>0.391</v>
      </c>
      <c r="O11" s="2">
        <v>0.096</v>
      </c>
      <c r="P11">
        <v>10122</v>
      </c>
      <c r="Q11">
        <v>46</v>
      </c>
      <c r="R11">
        <v>2</v>
      </c>
      <c r="S11">
        <v>299</v>
      </c>
      <c r="T11">
        <v>423</v>
      </c>
      <c r="U11">
        <v>1</v>
      </c>
      <c r="V11">
        <v>0</v>
      </c>
      <c r="W11">
        <v>10080</v>
      </c>
      <c r="X11">
        <v>141</v>
      </c>
      <c r="Y11">
        <v>30864</v>
      </c>
      <c r="Z11" s="2">
        <v>0.415</v>
      </c>
      <c r="AA11">
        <v>1092</v>
      </c>
      <c r="AB11" s="3">
        <v>0.278472222222222</v>
      </c>
      <c r="AC11">
        <v>8</v>
      </c>
      <c r="AD11">
        <v>1679</v>
      </c>
      <c r="AE11">
        <v>5</v>
      </c>
      <c r="AF11">
        <v>930</v>
      </c>
      <c r="AG11">
        <v>0</v>
      </c>
      <c r="AH11">
        <v>9</v>
      </c>
    </row>
    <row r="14" spans="1:34">
      <c r="A14" s="1" t="s">
        <v>79</v>
      </c>
      <c r="B14" s="4">
        <v>8799030762</v>
      </c>
      <c r="C14" s="4"/>
    </row>
    <row r="15" spans="1:34">
      <c r="A15" s="1" t="s">
        <v>80</v>
      </c>
      <c r="B15" s="5" t="s">
        <v>88</v>
      </c>
    </row>
  </sheetData>
  <sortState ref="A2:AH11">
    <sortCondition ref="C2:C11"/>
  </sortState>
  <mergeCells count="1">
    <mergeCell ref="B14:C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K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cols>
    <col min="31" max="31" width="12.5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260506</v>
      </c>
      <c r="B2">
        <v>1</v>
      </c>
      <c r="C2" t="s">
        <v>72</v>
      </c>
      <c r="D2" t="s">
        <v>66</v>
      </c>
      <c r="E2">
        <v>35</v>
      </c>
      <c r="F2" t="s">
        <v>5</v>
      </c>
      <c r="G2">
        <v>10</v>
      </c>
      <c r="H2" t="s">
        <v>90</v>
      </c>
      <c r="I2">
        <v>2</v>
      </c>
      <c r="J2">
        <v>22</v>
      </c>
      <c r="K2">
        <v>14</v>
      </c>
      <c r="L2">
        <v>4</v>
      </c>
      <c r="M2">
        <v>14</v>
      </c>
      <c r="N2" s="2">
        <v>0.8</v>
      </c>
      <c r="O2" s="2">
        <v>0.314</v>
      </c>
      <c r="P2">
        <v>22048</v>
      </c>
      <c r="Q2">
        <v>346</v>
      </c>
      <c r="R2">
        <v>0</v>
      </c>
      <c r="S2">
        <v>719</v>
      </c>
      <c r="T2">
        <v>889</v>
      </c>
      <c r="U2">
        <v>3</v>
      </c>
      <c r="V2">
        <v>0</v>
      </c>
      <c r="W2">
        <v>0</v>
      </c>
      <c r="X2">
        <v>28522</v>
      </c>
      <c r="Y2">
        <v>533</v>
      </c>
      <c r="Z2">
        <v>25513</v>
      </c>
      <c r="AA2" s="2">
        <v>0.449</v>
      </c>
      <c r="AB2">
        <v>391</v>
      </c>
      <c r="AC2" s="3">
        <v>0.0715277777777778</v>
      </c>
      <c r="AD2">
        <v>9</v>
      </c>
      <c r="AE2">
        <v>5071</v>
      </c>
      <c r="AF2">
        <v>9</v>
      </c>
      <c r="AG2">
        <v>200</v>
      </c>
      <c r="AH2">
        <v>1</v>
      </c>
      <c r="AI2">
        <v>3</v>
      </c>
    </row>
    <row r="3" spans="1:35">
      <c r="A3">
        <v>260506</v>
      </c>
      <c r="B3">
        <v>1</v>
      </c>
      <c r="C3" t="s">
        <v>72</v>
      </c>
      <c r="D3" t="s">
        <v>66</v>
      </c>
      <c r="E3">
        <v>35</v>
      </c>
      <c r="F3" t="s">
        <v>11</v>
      </c>
      <c r="G3">
        <f>VLOOKUP(F3,选手工资!A4:B31,2,FALSE)</f>
        <v>7.5</v>
      </c>
      <c r="H3" t="s">
        <v>71</v>
      </c>
      <c r="I3">
        <v>1</v>
      </c>
      <c r="J3">
        <v>22</v>
      </c>
      <c r="K3">
        <v>14</v>
      </c>
      <c r="L3">
        <v>1</v>
      </c>
      <c r="M3">
        <v>11</v>
      </c>
      <c r="N3" s="2">
        <v>0.714</v>
      </c>
      <c r="O3" s="2">
        <v>0.327</v>
      </c>
      <c r="P3">
        <v>21250</v>
      </c>
      <c r="Q3">
        <v>336</v>
      </c>
      <c r="R3">
        <v>10</v>
      </c>
      <c r="S3">
        <v>699</v>
      </c>
      <c r="T3">
        <v>833</v>
      </c>
      <c r="U3">
        <v>2</v>
      </c>
      <c r="V3">
        <v>0</v>
      </c>
      <c r="W3">
        <v>0</v>
      </c>
      <c r="X3">
        <v>29732</v>
      </c>
      <c r="Y3">
        <v>7271</v>
      </c>
      <c r="Z3">
        <v>34770</v>
      </c>
      <c r="AA3" s="2">
        <v>0.365</v>
      </c>
      <c r="AB3">
        <v>19</v>
      </c>
      <c r="AC3" s="3">
        <v>0.0125</v>
      </c>
      <c r="AD3">
        <v>2</v>
      </c>
      <c r="AE3">
        <v>4899</v>
      </c>
      <c r="AF3">
        <v>8</v>
      </c>
      <c r="AG3">
        <v>0</v>
      </c>
      <c r="AH3">
        <v>0</v>
      </c>
      <c r="AI3">
        <v>0</v>
      </c>
    </row>
    <row r="4" spans="1:35">
      <c r="A4">
        <v>260506</v>
      </c>
      <c r="B4">
        <v>1</v>
      </c>
      <c r="C4" t="s">
        <v>72</v>
      </c>
      <c r="D4" t="s">
        <v>66</v>
      </c>
      <c r="E4">
        <v>35</v>
      </c>
      <c r="F4" t="s">
        <v>21</v>
      </c>
      <c r="G4">
        <f>VLOOKUP(F4,选手工资!A2:B29,2,FALSE)</f>
        <v>4.5</v>
      </c>
      <c r="H4" t="s">
        <v>76</v>
      </c>
      <c r="I4">
        <v>3</v>
      </c>
      <c r="J4">
        <v>16</v>
      </c>
      <c r="K4">
        <v>2</v>
      </c>
      <c r="L4">
        <v>3</v>
      </c>
      <c r="M4">
        <v>15</v>
      </c>
      <c r="N4" s="2">
        <v>0.486</v>
      </c>
      <c r="O4" s="2">
        <v>0.113</v>
      </c>
      <c r="P4">
        <v>11919</v>
      </c>
      <c r="Q4">
        <v>178</v>
      </c>
      <c r="R4">
        <v>6</v>
      </c>
      <c r="S4">
        <v>380</v>
      </c>
      <c r="T4">
        <v>465</v>
      </c>
      <c r="U4">
        <v>3</v>
      </c>
      <c r="V4">
        <v>3924</v>
      </c>
      <c r="W4">
        <v>1</v>
      </c>
      <c r="X4">
        <v>10310</v>
      </c>
      <c r="Y4">
        <v>1319</v>
      </c>
      <c r="Z4">
        <v>31681</v>
      </c>
      <c r="AA4" s="2">
        <v>0.423</v>
      </c>
      <c r="AB4">
        <v>261</v>
      </c>
      <c r="AC4" s="3">
        <v>0.0493055555555556</v>
      </c>
      <c r="AD4">
        <v>5</v>
      </c>
      <c r="AE4">
        <v>3125</v>
      </c>
      <c r="AF4">
        <v>6</v>
      </c>
      <c r="AG4">
        <v>0</v>
      </c>
      <c r="AH4">
        <v>0</v>
      </c>
      <c r="AI4">
        <v>0</v>
      </c>
    </row>
    <row r="5" spans="1:35">
      <c r="A5">
        <v>260506</v>
      </c>
      <c r="B5">
        <v>1</v>
      </c>
      <c r="C5" t="s">
        <v>72</v>
      </c>
      <c r="D5" t="s">
        <v>66</v>
      </c>
      <c r="E5">
        <v>35</v>
      </c>
      <c r="F5" t="s">
        <v>31</v>
      </c>
      <c r="G5">
        <f>VLOOKUP(F5,选手工资!A1:B28,2,FALSE)</f>
        <v>2</v>
      </c>
      <c r="H5" t="s">
        <v>83</v>
      </c>
      <c r="I5">
        <v>5</v>
      </c>
      <c r="J5">
        <v>15</v>
      </c>
      <c r="K5">
        <v>1</v>
      </c>
      <c r="L5">
        <v>5</v>
      </c>
      <c r="M5">
        <v>21</v>
      </c>
      <c r="N5" s="2">
        <v>0.629</v>
      </c>
      <c r="O5" s="2">
        <v>0.073</v>
      </c>
      <c r="P5">
        <v>7287</v>
      </c>
      <c r="Q5">
        <v>16</v>
      </c>
      <c r="R5">
        <v>0</v>
      </c>
      <c r="S5">
        <v>258</v>
      </c>
      <c r="T5">
        <v>425</v>
      </c>
      <c r="U5">
        <v>2</v>
      </c>
      <c r="V5">
        <v>0</v>
      </c>
      <c r="W5">
        <v>0</v>
      </c>
      <c r="X5">
        <v>6642</v>
      </c>
      <c r="Y5">
        <v>16</v>
      </c>
      <c r="Z5">
        <v>14809</v>
      </c>
      <c r="AA5" s="2">
        <v>0.311</v>
      </c>
      <c r="AB5">
        <v>256</v>
      </c>
      <c r="AC5" s="3">
        <v>0.0673611111111111</v>
      </c>
      <c r="AD5">
        <v>1</v>
      </c>
      <c r="AE5">
        <v>1785</v>
      </c>
      <c r="AF5">
        <v>5</v>
      </c>
      <c r="AG5">
        <v>400</v>
      </c>
      <c r="AH5">
        <v>7</v>
      </c>
      <c r="AI5">
        <v>3</v>
      </c>
    </row>
    <row r="6" spans="1:35">
      <c r="A6">
        <v>260506</v>
      </c>
      <c r="B6">
        <v>1</v>
      </c>
      <c r="C6" t="s">
        <v>72</v>
      </c>
      <c r="D6" t="s">
        <v>66</v>
      </c>
      <c r="E6">
        <v>35</v>
      </c>
      <c r="F6" t="s">
        <v>16</v>
      </c>
      <c r="G6">
        <f>VLOOKUP(F6,选手工资!A5:B32,2,FALSE)</f>
        <v>6</v>
      </c>
      <c r="H6" t="s">
        <v>91</v>
      </c>
      <c r="I6">
        <v>4</v>
      </c>
      <c r="J6">
        <v>17</v>
      </c>
      <c r="K6">
        <v>4</v>
      </c>
      <c r="L6">
        <v>5</v>
      </c>
      <c r="M6">
        <v>18</v>
      </c>
      <c r="N6" s="2">
        <v>0.629</v>
      </c>
      <c r="O6" s="2">
        <v>0.173</v>
      </c>
      <c r="P6">
        <v>12144</v>
      </c>
      <c r="Q6">
        <v>81</v>
      </c>
      <c r="R6">
        <v>2</v>
      </c>
      <c r="S6">
        <v>367</v>
      </c>
      <c r="T6">
        <v>552</v>
      </c>
      <c r="U6">
        <v>0</v>
      </c>
      <c r="V6">
        <v>0</v>
      </c>
      <c r="W6">
        <v>0</v>
      </c>
      <c r="X6">
        <v>15758</v>
      </c>
      <c r="Y6">
        <v>1533</v>
      </c>
      <c r="Z6">
        <v>15420</v>
      </c>
      <c r="AA6" s="2">
        <v>0.318</v>
      </c>
      <c r="AB6">
        <v>150</v>
      </c>
      <c r="AC6" s="3">
        <v>0.0791666666666667</v>
      </c>
      <c r="AD6">
        <v>6</v>
      </c>
      <c r="AE6">
        <v>1722</v>
      </c>
      <c r="AF6">
        <v>5</v>
      </c>
      <c r="AG6">
        <v>450</v>
      </c>
      <c r="AH6">
        <v>2</v>
      </c>
      <c r="AI6">
        <v>5</v>
      </c>
    </row>
    <row r="7" spans="1:35">
      <c r="A7">
        <v>260506</v>
      </c>
      <c r="B7">
        <v>1</v>
      </c>
      <c r="C7" t="s">
        <v>65</v>
      </c>
      <c r="D7" t="s">
        <v>73</v>
      </c>
      <c r="E7">
        <v>18</v>
      </c>
      <c r="F7" t="s">
        <v>6</v>
      </c>
      <c r="G7">
        <v>8</v>
      </c>
      <c r="H7" t="s">
        <v>92</v>
      </c>
      <c r="I7">
        <v>2</v>
      </c>
      <c r="J7">
        <v>18</v>
      </c>
      <c r="K7">
        <v>3</v>
      </c>
      <c r="L7">
        <v>6</v>
      </c>
      <c r="M7">
        <v>11</v>
      </c>
      <c r="N7" s="2">
        <v>0.778</v>
      </c>
      <c r="O7" s="2">
        <v>0.25</v>
      </c>
      <c r="P7">
        <v>13960</v>
      </c>
      <c r="Q7">
        <v>230</v>
      </c>
      <c r="R7">
        <v>5</v>
      </c>
      <c r="S7">
        <v>486</v>
      </c>
      <c r="T7">
        <v>603</v>
      </c>
      <c r="U7">
        <v>2</v>
      </c>
      <c r="V7">
        <v>0</v>
      </c>
      <c r="W7">
        <v>0</v>
      </c>
      <c r="X7">
        <v>18815</v>
      </c>
      <c r="Y7">
        <v>287</v>
      </c>
      <c r="Z7">
        <v>32315</v>
      </c>
      <c r="AA7" s="2">
        <v>0.476</v>
      </c>
      <c r="AB7">
        <v>1327</v>
      </c>
      <c r="AC7" s="3">
        <v>0.146527777777778</v>
      </c>
      <c r="AD7">
        <v>10</v>
      </c>
      <c r="AE7">
        <v>4455</v>
      </c>
      <c r="AF7">
        <v>9</v>
      </c>
      <c r="AG7">
        <v>290</v>
      </c>
      <c r="AH7">
        <v>0</v>
      </c>
      <c r="AI7">
        <v>2</v>
      </c>
    </row>
    <row r="8" spans="1:35">
      <c r="A8">
        <v>260506</v>
      </c>
      <c r="B8">
        <v>1</v>
      </c>
      <c r="C8" t="s">
        <v>65</v>
      </c>
      <c r="D8" t="s">
        <v>73</v>
      </c>
      <c r="E8">
        <v>18</v>
      </c>
      <c r="F8" t="s">
        <v>7</v>
      </c>
      <c r="G8">
        <v>8</v>
      </c>
      <c r="H8" t="s">
        <v>93</v>
      </c>
      <c r="I8">
        <v>3</v>
      </c>
      <c r="J8">
        <v>17</v>
      </c>
      <c r="K8">
        <v>3</v>
      </c>
      <c r="L8">
        <v>8</v>
      </c>
      <c r="M8">
        <v>7</v>
      </c>
      <c r="N8" s="2">
        <v>0.556</v>
      </c>
      <c r="O8" s="2">
        <v>0.333</v>
      </c>
      <c r="P8">
        <v>13299</v>
      </c>
      <c r="Q8">
        <v>238</v>
      </c>
      <c r="R8">
        <v>13</v>
      </c>
      <c r="S8">
        <v>446</v>
      </c>
      <c r="T8">
        <v>531</v>
      </c>
      <c r="U8">
        <v>1</v>
      </c>
      <c r="V8">
        <v>0</v>
      </c>
      <c r="W8">
        <v>0</v>
      </c>
      <c r="X8">
        <v>25006</v>
      </c>
      <c r="Y8">
        <v>316</v>
      </c>
      <c r="Z8">
        <v>70756</v>
      </c>
      <c r="AA8" s="2">
        <v>0.57</v>
      </c>
      <c r="AB8">
        <v>676</v>
      </c>
      <c r="AC8" s="3">
        <v>0.165972222222222</v>
      </c>
      <c r="AD8">
        <v>3</v>
      </c>
      <c r="AE8">
        <v>3973</v>
      </c>
      <c r="AF8">
        <v>7</v>
      </c>
      <c r="AG8">
        <v>0</v>
      </c>
      <c r="AH8">
        <v>3</v>
      </c>
      <c r="AI8">
        <v>3</v>
      </c>
    </row>
    <row r="9" spans="1:35">
      <c r="A9">
        <v>260506</v>
      </c>
      <c r="B9">
        <v>1</v>
      </c>
      <c r="C9" t="s">
        <v>65</v>
      </c>
      <c r="D9" t="s">
        <v>73</v>
      </c>
      <c r="E9">
        <v>18</v>
      </c>
      <c r="F9" t="s">
        <v>18</v>
      </c>
      <c r="G9">
        <f>VLOOKUP(F9,选手工资!A10:B37,2,FALSE)</f>
        <v>5.5</v>
      </c>
      <c r="H9" s="1" t="s">
        <v>94</v>
      </c>
      <c r="I9">
        <v>1</v>
      </c>
      <c r="J9">
        <v>16</v>
      </c>
      <c r="K9">
        <v>0</v>
      </c>
      <c r="L9">
        <v>6</v>
      </c>
      <c r="M9">
        <v>8</v>
      </c>
      <c r="N9" s="2">
        <v>0.444</v>
      </c>
      <c r="O9" s="2">
        <v>0.193</v>
      </c>
      <c r="P9">
        <v>13878</v>
      </c>
      <c r="Q9">
        <v>272</v>
      </c>
      <c r="R9">
        <v>8</v>
      </c>
      <c r="S9">
        <v>456</v>
      </c>
      <c r="T9">
        <v>457</v>
      </c>
      <c r="U9">
        <v>2</v>
      </c>
      <c r="V9">
        <v>0</v>
      </c>
      <c r="W9">
        <v>0</v>
      </c>
      <c r="X9">
        <v>14532</v>
      </c>
      <c r="Y9">
        <v>1380</v>
      </c>
      <c r="Z9">
        <v>36871</v>
      </c>
      <c r="AA9" s="2">
        <v>0.445</v>
      </c>
      <c r="AB9">
        <v>951</v>
      </c>
      <c r="AC9" s="3">
        <v>0.123611111111111</v>
      </c>
      <c r="AD9">
        <v>8</v>
      </c>
      <c r="AE9">
        <v>3669</v>
      </c>
      <c r="AF9">
        <v>6</v>
      </c>
      <c r="AG9">
        <v>0</v>
      </c>
      <c r="AH9">
        <v>3</v>
      </c>
      <c r="AI9">
        <v>0</v>
      </c>
    </row>
    <row r="10" spans="1:35">
      <c r="A10">
        <v>260506</v>
      </c>
      <c r="B10">
        <v>1</v>
      </c>
      <c r="C10" t="s">
        <v>65</v>
      </c>
      <c r="D10" t="s">
        <v>73</v>
      </c>
      <c r="E10">
        <v>18</v>
      </c>
      <c r="F10" t="s">
        <v>17</v>
      </c>
      <c r="G10">
        <f>VLOOKUP(F10,选手工资!A9:B36,2,FALSE)</f>
        <v>5.5</v>
      </c>
      <c r="H10" t="s">
        <v>95</v>
      </c>
      <c r="I10">
        <v>4</v>
      </c>
      <c r="J10">
        <v>12</v>
      </c>
      <c r="K10">
        <v>6</v>
      </c>
      <c r="L10">
        <v>8</v>
      </c>
      <c r="M10">
        <v>7</v>
      </c>
      <c r="N10" s="2">
        <v>0.722</v>
      </c>
      <c r="O10" s="2">
        <v>0.113</v>
      </c>
      <c r="P10">
        <v>5589</v>
      </c>
      <c r="Q10">
        <v>19</v>
      </c>
      <c r="R10">
        <v>5</v>
      </c>
      <c r="S10">
        <v>220</v>
      </c>
      <c r="T10">
        <v>269</v>
      </c>
      <c r="U10">
        <v>1</v>
      </c>
      <c r="V10">
        <v>0</v>
      </c>
      <c r="W10">
        <v>0</v>
      </c>
      <c r="X10">
        <v>8473</v>
      </c>
      <c r="Y10">
        <v>23</v>
      </c>
      <c r="Z10">
        <v>18469</v>
      </c>
      <c r="AA10" s="2">
        <v>0.35</v>
      </c>
      <c r="AB10">
        <v>632</v>
      </c>
      <c r="AC10" s="3">
        <v>0.178472222222222</v>
      </c>
      <c r="AD10">
        <v>4</v>
      </c>
      <c r="AE10">
        <v>1785</v>
      </c>
      <c r="AF10">
        <v>6</v>
      </c>
      <c r="AG10">
        <v>850</v>
      </c>
      <c r="AH10">
        <v>0</v>
      </c>
      <c r="AI10">
        <v>2</v>
      </c>
    </row>
    <row r="11" spans="1:35">
      <c r="A11">
        <v>260506</v>
      </c>
      <c r="B11">
        <v>1</v>
      </c>
      <c r="C11" t="s">
        <v>65</v>
      </c>
      <c r="D11" t="s">
        <v>73</v>
      </c>
      <c r="E11">
        <v>18</v>
      </c>
      <c r="F11" t="s">
        <v>96</v>
      </c>
      <c r="G11">
        <f>VLOOKUP(F11,选手工资!A8:B35,2,FALSE)</f>
        <v>3.5</v>
      </c>
      <c r="H11" t="s">
        <v>97</v>
      </c>
      <c r="I11">
        <v>5</v>
      </c>
      <c r="J11">
        <v>12</v>
      </c>
      <c r="K11">
        <v>6</v>
      </c>
      <c r="L11">
        <v>7</v>
      </c>
      <c r="M11">
        <v>3</v>
      </c>
      <c r="N11" s="2">
        <v>0.5</v>
      </c>
      <c r="O11" s="2">
        <v>0.111</v>
      </c>
      <c r="P11">
        <v>4582</v>
      </c>
      <c r="Q11">
        <v>21</v>
      </c>
      <c r="R11">
        <v>2</v>
      </c>
      <c r="S11">
        <v>214</v>
      </c>
      <c r="T11">
        <v>283</v>
      </c>
      <c r="U11">
        <v>1</v>
      </c>
      <c r="V11">
        <v>0</v>
      </c>
      <c r="W11">
        <v>0</v>
      </c>
      <c r="X11">
        <v>8330</v>
      </c>
      <c r="Y11">
        <v>0</v>
      </c>
      <c r="Z11">
        <v>16187</v>
      </c>
      <c r="AA11" s="2">
        <v>0.343</v>
      </c>
      <c r="AB11">
        <v>382</v>
      </c>
      <c r="AC11" s="3">
        <v>0.136805555555556</v>
      </c>
      <c r="AD11">
        <v>7</v>
      </c>
      <c r="AE11">
        <v>2249</v>
      </c>
      <c r="AF11">
        <v>5</v>
      </c>
      <c r="AG11">
        <v>1380</v>
      </c>
      <c r="AH11">
        <v>2</v>
      </c>
      <c r="AI11">
        <v>2</v>
      </c>
    </row>
    <row r="14" spans="1:35">
      <c r="A14" s="1" t="s">
        <v>79</v>
      </c>
      <c r="B14" s="4">
        <v>8800088420</v>
      </c>
      <c r="C14" s="4"/>
    </row>
    <row r="15" spans="1:35">
      <c r="A15" s="1" t="s">
        <v>80</v>
      </c>
      <c r="B15" s="5" t="s">
        <v>98</v>
      </c>
    </row>
  </sheetData>
  <sortState ref="A2:AF11">
    <sortCondition ref="D2" descending="1"/>
  </sortState>
  <mergeCells count="1">
    <mergeCell ref="B14:C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K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260506</v>
      </c>
      <c r="B2">
        <v>2</v>
      </c>
      <c r="C2" t="s">
        <v>72</v>
      </c>
      <c r="D2" t="s">
        <v>73</v>
      </c>
      <c r="E2">
        <v>15</v>
      </c>
      <c r="F2" t="s">
        <v>27</v>
      </c>
      <c r="G2">
        <f>VLOOKUP(F2,选手工资!A1:B28,2,FALSE)</f>
        <v>3</v>
      </c>
      <c r="H2" t="s">
        <v>83</v>
      </c>
      <c r="I2">
        <v>5</v>
      </c>
      <c r="J2">
        <v>11</v>
      </c>
      <c r="K2">
        <v>2</v>
      </c>
      <c r="L2">
        <v>11</v>
      </c>
      <c r="M2">
        <v>8</v>
      </c>
      <c r="N2" s="2">
        <v>0.667</v>
      </c>
      <c r="O2" s="2">
        <v>0.137</v>
      </c>
      <c r="P2">
        <v>5509</v>
      </c>
      <c r="Q2">
        <v>18</v>
      </c>
      <c r="R2">
        <v>0</v>
      </c>
      <c r="S2">
        <v>221</v>
      </c>
      <c r="T2">
        <v>246</v>
      </c>
      <c r="U2">
        <v>0</v>
      </c>
      <c r="V2">
        <v>0</v>
      </c>
      <c r="W2">
        <v>0</v>
      </c>
      <c r="X2">
        <v>11414</v>
      </c>
      <c r="Y2">
        <v>0</v>
      </c>
      <c r="Z2">
        <v>16520</v>
      </c>
      <c r="AA2" s="2">
        <v>0.286</v>
      </c>
      <c r="AB2">
        <v>502</v>
      </c>
      <c r="AC2" s="3">
        <v>0.179861111111111</v>
      </c>
      <c r="AD2">
        <v>1</v>
      </c>
      <c r="AE2">
        <v>1774</v>
      </c>
      <c r="AF2">
        <v>9</v>
      </c>
      <c r="AG2">
        <v>650</v>
      </c>
      <c r="AH2">
        <v>0</v>
      </c>
      <c r="AI2">
        <v>4</v>
      </c>
    </row>
    <row r="3" spans="1:35">
      <c r="A3">
        <v>260506</v>
      </c>
      <c r="B3">
        <v>2</v>
      </c>
      <c r="C3" t="s">
        <v>72</v>
      </c>
      <c r="D3" t="s">
        <v>73</v>
      </c>
      <c r="E3">
        <v>15</v>
      </c>
      <c r="F3" t="s">
        <v>5</v>
      </c>
      <c r="G3">
        <v>10</v>
      </c>
      <c r="H3" t="s">
        <v>99</v>
      </c>
      <c r="I3">
        <v>2</v>
      </c>
      <c r="J3">
        <v>18</v>
      </c>
      <c r="K3">
        <v>5</v>
      </c>
      <c r="L3">
        <v>4</v>
      </c>
      <c r="M3">
        <v>7</v>
      </c>
      <c r="N3" s="2">
        <v>0.8</v>
      </c>
      <c r="O3" s="2">
        <v>0.325</v>
      </c>
      <c r="P3">
        <v>14135</v>
      </c>
      <c r="Q3">
        <v>259</v>
      </c>
      <c r="R3">
        <v>5</v>
      </c>
      <c r="S3">
        <v>509</v>
      </c>
      <c r="T3">
        <v>571</v>
      </c>
      <c r="U3">
        <v>1</v>
      </c>
      <c r="V3">
        <v>0</v>
      </c>
      <c r="W3">
        <v>0</v>
      </c>
      <c r="X3">
        <v>27005</v>
      </c>
      <c r="Y3">
        <v>599</v>
      </c>
      <c r="Z3">
        <v>38085</v>
      </c>
      <c r="AA3" s="2">
        <v>0.473</v>
      </c>
      <c r="AB3">
        <v>981</v>
      </c>
      <c r="AC3" s="3">
        <v>0.126388888888889</v>
      </c>
      <c r="AD3">
        <v>9</v>
      </c>
      <c r="AE3">
        <v>3621</v>
      </c>
      <c r="AF3">
        <v>8</v>
      </c>
      <c r="AG3">
        <v>130</v>
      </c>
      <c r="AH3">
        <v>0</v>
      </c>
      <c r="AI3">
        <v>1</v>
      </c>
    </row>
    <row r="4" spans="1:35">
      <c r="A4">
        <v>260506</v>
      </c>
      <c r="B4">
        <v>2</v>
      </c>
      <c r="C4" t="s">
        <v>72</v>
      </c>
      <c r="D4" t="s">
        <v>73</v>
      </c>
      <c r="E4">
        <v>15</v>
      </c>
      <c r="F4" t="s">
        <v>18</v>
      </c>
      <c r="G4">
        <f>VLOOKUP(F4,选手工资!A2:B29,2,FALSE)</f>
        <v>5.5</v>
      </c>
      <c r="H4" t="s">
        <v>93</v>
      </c>
      <c r="I4">
        <v>3</v>
      </c>
      <c r="J4">
        <v>16</v>
      </c>
      <c r="K4">
        <v>4</v>
      </c>
      <c r="L4">
        <v>8</v>
      </c>
      <c r="M4">
        <v>7</v>
      </c>
      <c r="N4" s="2">
        <v>0.733</v>
      </c>
      <c r="O4" s="2">
        <v>0.265</v>
      </c>
      <c r="P4">
        <v>12025</v>
      </c>
      <c r="Q4">
        <v>189</v>
      </c>
      <c r="R4">
        <v>5</v>
      </c>
      <c r="S4">
        <v>410</v>
      </c>
      <c r="T4">
        <v>484</v>
      </c>
      <c r="U4">
        <v>1</v>
      </c>
      <c r="V4">
        <v>0</v>
      </c>
      <c r="W4">
        <v>0</v>
      </c>
      <c r="X4">
        <v>22008</v>
      </c>
      <c r="Y4">
        <v>376</v>
      </c>
      <c r="Z4">
        <v>62335</v>
      </c>
      <c r="AA4" s="2">
        <v>0.531</v>
      </c>
      <c r="AB4">
        <v>1085</v>
      </c>
      <c r="AC4" s="3">
        <v>0.199305555555556</v>
      </c>
      <c r="AD4">
        <v>5</v>
      </c>
      <c r="AE4">
        <v>3832</v>
      </c>
      <c r="AF4">
        <v>6</v>
      </c>
      <c r="AG4">
        <v>50</v>
      </c>
      <c r="AH4">
        <v>0</v>
      </c>
      <c r="AI4">
        <v>2</v>
      </c>
    </row>
    <row r="5" spans="1:35">
      <c r="A5">
        <v>260506</v>
      </c>
      <c r="B5">
        <v>2</v>
      </c>
      <c r="C5" t="s">
        <v>72</v>
      </c>
      <c r="D5" t="s">
        <v>73</v>
      </c>
      <c r="E5">
        <v>15</v>
      </c>
      <c r="F5" t="s">
        <v>7</v>
      </c>
      <c r="G5">
        <v>8</v>
      </c>
      <c r="H5" t="s">
        <v>100</v>
      </c>
      <c r="I5">
        <v>1</v>
      </c>
      <c r="J5">
        <v>16</v>
      </c>
      <c r="K5">
        <v>0</v>
      </c>
      <c r="L5">
        <v>7</v>
      </c>
      <c r="M5">
        <v>11</v>
      </c>
      <c r="N5" s="2">
        <v>0.733</v>
      </c>
      <c r="O5" s="2">
        <v>0.166</v>
      </c>
      <c r="P5">
        <v>11329</v>
      </c>
      <c r="Q5">
        <v>204</v>
      </c>
      <c r="R5">
        <v>7</v>
      </c>
      <c r="S5">
        <v>365</v>
      </c>
      <c r="T5">
        <v>472</v>
      </c>
      <c r="U5">
        <v>2</v>
      </c>
      <c r="V5">
        <v>0</v>
      </c>
      <c r="W5">
        <v>0</v>
      </c>
      <c r="X5">
        <v>13815</v>
      </c>
      <c r="Y5">
        <v>0</v>
      </c>
      <c r="Z5">
        <v>26365</v>
      </c>
      <c r="AA5" s="2">
        <v>0.422</v>
      </c>
      <c r="AB5">
        <v>371</v>
      </c>
      <c r="AC5" s="3">
        <v>0.138888888888889</v>
      </c>
      <c r="AD5">
        <v>6</v>
      </c>
      <c r="AE5">
        <v>2754</v>
      </c>
      <c r="AF5">
        <v>5</v>
      </c>
      <c r="AG5">
        <v>130</v>
      </c>
      <c r="AH5">
        <v>0</v>
      </c>
      <c r="AI5">
        <v>0</v>
      </c>
    </row>
    <row r="6" spans="1:35">
      <c r="A6">
        <v>260506</v>
      </c>
      <c r="B6">
        <v>2</v>
      </c>
      <c r="C6" t="s">
        <v>72</v>
      </c>
      <c r="D6" t="s">
        <v>73</v>
      </c>
      <c r="E6">
        <v>15</v>
      </c>
      <c r="F6" t="s">
        <v>20</v>
      </c>
      <c r="G6">
        <f>VLOOKUP(F6,选手工资!A4:B31,2,FALSE)</f>
        <v>4.5</v>
      </c>
      <c r="H6" t="s">
        <v>68</v>
      </c>
      <c r="I6">
        <v>4</v>
      </c>
      <c r="J6">
        <v>12</v>
      </c>
      <c r="K6">
        <v>2</v>
      </c>
      <c r="L6">
        <v>7</v>
      </c>
      <c r="M6">
        <v>8</v>
      </c>
      <c r="N6" s="2">
        <v>0.667</v>
      </c>
      <c r="O6" s="2">
        <v>0.106</v>
      </c>
      <c r="P6">
        <v>7104</v>
      </c>
      <c r="Q6">
        <v>26</v>
      </c>
      <c r="R6">
        <v>0</v>
      </c>
      <c r="S6">
        <v>232</v>
      </c>
      <c r="T6">
        <v>298</v>
      </c>
      <c r="U6">
        <v>0</v>
      </c>
      <c r="V6">
        <v>0</v>
      </c>
      <c r="W6">
        <v>0</v>
      </c>
      <c r="X6">
        <v>8779</v>
      </c>
      <c r="Y6">
        <v>0</v>
      </c>
      <c r="Z6">
        <v>15489</v>
      </c>
      <c r="AA6" s="2">
        <v>0.399</v>
      </c>
      <c r="AB6">
        <v>300</v>
      </c>
      <c r="AC6" s="3">
        <v>0.121527777777778</v>
      </c>
      <c r="AD6">
        <v>2</v>
      </c>
      <c r="AE6">
        <v>2211</v>
      </c>
      <c r="AF6">
        <v>4</v>
      </c>
      <c r="AG6">
        <v>200</v>
      </c>
      <c r="AH6">
        <v>10</v>
      </c>
      <c r="AI6">
        <v>0</v>
      </c>
    </row>
    <row r="7" spans="1:35">
      <c r="A7">
        <v>260506</v>
      </c>
      <c r="B7">
        <v>2</v>
      </c>
      <c r="C7" t="s">
        <v>65</v>
      </c>
      <c r="D7" t="s">
        <v>66</v>
      </c>
      <c r="E7">
        <v>36</v>
      </c>
      <c r="F7" t="s">
        <v>6</v>
      </c>
      <c r="G7">
        <v>8</v>
      </c>
      <c r="H7" t="s">
        <v>85</v>
      </c>
      <c r="I7">
        <v>2</v>
      </c>
      <c r="J7">
        <v>20</v>
      </c>
      <c r="K7">
        <v>6</v>
      </c>
      <c r="L7">
        <v>3</v>
      </c>
      <c r="M7">
        <v>12</v>
      </c>
      <c r="N7" s="2">
        <v>0.5</v>
      </c>
      <c r="O7" s="2">
        <v>0.279</v>
      </c>
      <c r="P7">
        <v>18404</v>
      </c>
      <c r="Q7">
        <v>287</v>
      </c>
      <c r="R7">
        <v>5</v>
      </c>
      <c r="S7">
        <v>623</v>
      </c>
      <c r="T7">
        <v>751</v>
      </c>
      <c r="U7">
        <v>1</v>
      </c>
      <c r="V7">
        <v>8383</v>
      </c>
      <c r="W7">
        <v>0</v>
      </c>
      <c r="X7">
        <v>24077</v>
      </c>
      <c r="Y7">
        <v>3147</v>
      </c>
      <c r="Z7">
        <v>43006</v>
      </c>
      <c r="AA7" s="2">
        <v>0.466</v>
      </c>
      <c r="AB7">
        <v>242</v>
      </c>
      <c r="AC7" s="3">
        <v>0.0534722222222222</v>
      </c>
      <c r="AD7">
        <v>10</v>
      </c>
      <c r="AE7">
        <v>4224</v>
      </c>
      <c r="AF7">
        <v>9</v>
      </c>
      <c r="AG7">
        <v>50</v>
      </c>
      <c r="AH7">
        <v>0</v>
      </c>
      <c r="AI7">
        <v>1</v>
      </c>
    </row>
    <row r="8" spans="1:35">
      <c r="A8">
        <v>260506</v>
      </c>
      <c r="B8">
        <v>2</v>
      </c>
      <c r="C8" t="s">
        <v>65</v>
      </c>
      <c r="D8" t="s">
        <v>66</v>
      </c>
      <c r="E8">
        <v>36</v>
      </c>
      <c r="F8" t="s">
        <v>15</v>
      </c>
      <c r="G8">
        <f>VLOOKUP(F8,选手工资!A8:B35,2,FALSE)</f>
        <v>6</v>
      </c>
      <c r="H8" t="s">
        <v>101</v>
      </c>
      <c r="I8">
        <v>1</v>
      </c>
      <c r="J8">
        <v>19</v>
      </c>
      <c r="K8">
        <v>12</v>
      </c>
      <c r="L8">
        <v>3</v>
      </c>
      <c r="M8">
        <v>13</v>
      </c>
      <c r="N8" s="2">
        <v>0.694</v>
      </c>
      <c r="O8" s="2">
        <v>0.22</v>
      </c>
      <c r="P8">
        <v>19706</v>
      </c>
      <c r="Q8">
        <v>234</v>
      </c>
      <c r="R8">
        <v>13</v>
      </c>
      <c r="S8">
        <v>639</v>
      </c>
      <c r="T8">
        <v>677</v>
      </c>
      <c r="U8">
        <v>2</v>
      </c>
      <c r="V8">
        <v>0</v>
      </c>
      <c r="W8">
        <v>0</v>
      </c>
      <c r="X8">
        <v>18995</v>
      </c>
      <c r="Y8">
        <v>13668</v>
      </c>
      <c r="Z8">
        <v>30931</v>
      </c>
      <c r="AA8" s="2">
        <v>0.39</v>
      </c>
      <c r="AB8">
        <v>541</v>
      </c>
      <c r="AC8" s="3">
        <v>0.0833333333333333</v>
      </c>
      <c r="AD8">
        <v>8</v>
      </c>
      <c r="AE8">
        <v>4794</v>
      </c>
      <c r="AF8">
        <v>7</v>
      </c>
      <c r="AG8">
        <v>0</v>
      </c>
      <c r="AH8">
        <v>0</v>
      </c>
      <c r="AI8">
        <v>1</v>
      </c>
    </row>
    <row r="9" spans="1:35">
      <c r="A9">
        <v>260506</v>
      </c>
      <c r="B9">
        <v>2</v>
      </c>
      <c r="C9" t="s">
        <v>65</v>
      </c>
      <c r="D9" t="s">
        <v>66</v>
      </c>
      <c r="E9">
        <v>36</v>
      </c>
      <c r="F9" t="s">
        <v>11</v>
      </c>
      <c r="G9">
        <v>7.5</v>
      </c>
      <c r="H9" t="s">
        <v>74</v>
      </c>
      <c r="I9">
        <v>3</v>
      </c>
      <c r="J9">
        <v>18</v>
      </c>
      <c r="K9">
        <v>8</v>
      </c>
      <c r="L9">
        <v>4</v>
      </c>
      <c r="M9">
        <v>19</v>
      </c>
      <c r="N9" s="2">
        <v>0.75</v>
      </c>
      <c r="O9" s="2">
        <v>0.267</v>
      </c>
      <c r="P9">
        <v>17152</v>
      </c>
      <c r="Q9">
        <v>218</v>
      </c>
      <c r="R9">
        <v>23</v>
      </c>
      <c r="S9">
        <v>563</v>
      </c>
      <c r="T9">
        <v>614</v>
      </c>
      <c r="U9">
        <v>2</v>
      </c>
      <c r="V9">
        <v>0</v>
      </c>
      <c r="W9">
        <v>0</v>
      </c>
      <c r="X9">
        <v>22971</v>
      </c>
      <c r="Y9">
        <v>2907</v>
      </c>
      <c r="Z9">
        <v>39062</v>
      </c>
      <c r="AA9" s="2">
        <v>0.44</v>
      </c>
      <c r="AB9">
        <v>436</v>
      </c>
      <c r="AC9" s="3">
        <v>0.0715277777777778</v>
      </c>
      <c r="AD9">
        <v>4</v>
      </c>
      <c r="AE9">
        <v>4423</v>
      </c>
      <c r="AF9">
        <v>7</v>
      </c>
      <c r="AG9">
        <v>80</v>
      </c>
      <c r="AH9">
        <v>1</v>
      </c>
      <c r="AI9">
        <v>0</v>
      </c>
    </row>
    <row r="10" spans="1:35">
      <c r="A10">
        <v>260506</v>
      </c>
      <c r="B10">
        <v>2</v>
      </c>
      <c r="C10" t="s">
        <v>65</v>
      </c>
      <c r="D10" t="s">
        <v>66</v>
      </c>
      <c r="E10">
        <v>36</v>
      </c>
      <c r="F10" t="s">
        <v>96</v>
      </c>
      <c r="G10">
        <f>VLOOKUP(F10,选手工资!A7:B34,2,FALSE)</f>
        <v>3.5</v>
      </c>
      <c r="H10" t="s">
        <v>102</v>
      </c>
      <c r="I10">
        <v>4</v>
      </c>
      <c r="J10">
        <v>15</v>
      </c>
      <c r="K10">
        <v>6</v>
      </c>
      <c r="L10">
        <v>4</v>
      </c>
      <c r="M10">
        <v>18</v>
      </c>
      <c r="N10" s="2">
        <v>0.667</v>
      </c>
      <c r="O10" s="2">
        <v>0.121</v>
      </c>
      <c r="P10">
        <v>7702</v>
      </c>
      <c r="Q10">
        <v>24</v>
      </c>
      <c r="R10">
        <v>2</v>
      </c>
      <c r="S10">
        <v>301</v>
      </c>
      <c r="T10">
        <v>437</v>
      </c>
      <c r="U10">
        <v>2</v>
      </c>
      <c r="V10">
        <v>0</v>
      </c>
      <c r="W10">
        <v>0</v>
      </c>
      <c r="X10">
        <v>10439</v>
      </c>
      <c r="Y10">
        <v>316</v>
      </c>
      <c r="Z10">
        <v>14312</v>
      </c>
      <c r="AA10" s="2">
        <v>0.275</v>
      </c>
      <c r="AB10">
        <v>395</v>
      </c>
      <c r="AC10" s="3">
        <v>0.0604166666666667</v>
      </c>
      <c r="AD10">
        <v>3</v>
      </c>
      <c r="AE10">
        <v>2681</v>
      </c>
      <c r="AF10">
        <v>6</v>
      </c>
      <c r="AG10">
        <v>550</v>
      </c>
      <c r="AH10">
        <v>2</v>
      </c>
      <c r="AI10">
        <v>3</v>
      </c>
    </row>
    <row r="11" spans="1:35">
      <c r="A11">
        <v>260506</v>
      </c>
      <c r="B11">
        <v>2</v>
      </c>
      <c r="C11" t="s">
        <v>65</v>
      </c>
      <c r="D11" t="s">
        <v>66</v>
      </c>
      <c r="E11">
        <v>36</v>
      </c>
      <c r="F11" t="s">
        <v>17</v>
      </c>
      <c r="G11">
        <f>VLOOKUP(F11,选手工资!A6:B33,2,FALSE)</f>
        <v>5.5</v>
      </c>
      <c r="H11" t="s">
        <v>95</v>
      </c>
      <c r="I11">
        <v>5</v>
      </c>
      <c r="J11">
        <v>15</v>
      </c>
      <c r="K11">
        <v>4</v>
      </c>
      <c r="L11">
        <v>1</v>
      </c>
      <c r="M11">
        <v>25</v>
      </c>
      <c r="N11" s="2">
        <v>0.806</v>
      </c>
      <c r="O11" s="2">
        <v>0.113</v>
      </c>
      <c r="P11">
        <v>9330</v>
      </c>
      <c r="Q11">
        <v>28</v>
      </c>
      <c r="R11">
        <v>4</v>
      </c>
      <c r="S11">
        <v>334</v>
      </c>
      <c r="T11">
        <v>442</v>
      </c>
      <c r="U11">
        <v>5</v>
      </c>
      <c r="V11">
        <v>0</v>
      </c>
      <c r="W11">
        <v>1</v>
      </c>
      <c r="X11">
        <v>9704</v>
      </c>
      <c r="Y11">
        <v>288</v>
      </c>
      <c r="Z11">
        <v>13121</v>
      </c>
      <c r="AA11" s="2">
        <v>0.321</v>
      </c>
      <c r="AB11">
        <v>0</v>
      </c>
      <c r="AC11" s="3">
        <v>0.0111111111111111</v>
      </c>
      <c r="AD11">
        <v>7</v>
      </c>
      <c r="AE11">
        <v>2605</v>
      </c>
      <c r="AF11">
        <v>6</v>
      </c>
      <c r="AG11">
        <v>700</v>
      </c>
      <c r="AH11">
        <v>2</v>
      </c>
      <c r="AI11">
        <v>5</v>
      </c>
    </row>
    <row r="14" spans="1:35">
      <c r="A14" s="1" t="s">
        <v>79</v>
      </c>
      <c r="B14" s="4">
        <v>8800139309</v>
      </c>
      <c r="C14" s="4"/>
    </row>
    <row r="15" spans="1:35">
      <c r="A15" s="1" t="s">
        <v>80</v>
      </c>
      <c r="B15" s="5" t="s">
        <v>103</v>
      </c>
    </row>
  </sheetData>
  <sortState ref="A2:AF11">
    <sortCondition ref="C2"/>
  </sortState>
  <mergeCells count="1">
    <mergeCell ref="B14:C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260506</v>
      </c>
      <c r="B2">
        <v>3</v>
      </c>
      <c r="C2" t="s">
        <v>72</v>
      </c>
      <c r="D2" t="s">
        <v>66</v>
      </c>
      <c r="E2">
        <v>46</v>
      </c>
      <c r="F2" t="s">
        <v>11</v>
      </c>
      <c r="G2">
        <f>VLOOKUP(F2,选手工资!A1:B28,2,FALSE)</f>
        <v>7.5</v>
      </c>
      <c r="H2" t="s">
        <v>92</v>
      </c>
      <c r="I2">
        <v>2</v>
      </c>
      <c r="J2">
        <v>20</v>
      </c>
      <c r="K2">
        <v>12</v>
      </c>
      <c r="L2">
        <v>1</v>
      </c>
      <c r="M2">
        <v>19</v>
      </c>
      <c r="N2" s="2">
        <v>0.674</v>
      </c>
      <c r="O2" s="2">
        <v>0.346</v>
      </c>
      <c r="P2">
        <v>18470</v>
      </c>
      <c r="Q2">
        <v>185</v>
      </c>
      <c r="R2">
        <v>23</v>
      </c>
      <c r="S2">
        <v>621</v>
      </c>
      <c r="T2">
        <v>818</v>
      </c>
      <c r="U2">
        <v>3</v>
      </c>
      <c r="V2">
        <v>110</v>
      </c>
      <c r="W2">
        <v>0</v>
      </c>
      <c r="X2">
        <v>31016</v>
      </c>
      <c r="Y2">
        <v>5780</v>
      </c>
      <c r="Z2">
        <v>27111</v>
      </c>
      <c r="AA2" s="2">
        <v>0.473</v>
      </c>
      <c r="AB2">
        <v>124</v>
      </c>
      <c r="AC2" s="3">
        <v>0.0243055555555556</v>
      </c>
      <c r="AD2">
        <v>9</v>
      </c>
      <c r="AE2">
        <v>4818</v>
      </c>
      <c r="AF2">
        <v>9</v>
      </c>
      <c r="AG2">
        <v>290</v>
      </c>
      <c r="AH2">
        <v>0</v>
      </c>
      <c r="AI2">
        <v>1</v>
      </c>
    </row>
    <row r="3" spans="1:35">
      <c r="A3">
        <v>260506</v>
      </c>
      <c r="B3">
        <v>3</v>
      </c>
      <c r="C3" t="s">
        <v>72</v>
      </c>
      <c r="D3" t="s">
        <v>66</v>
      </c>
      <c r="E3">
        <v>46</v>
      </c>
      <c r="F3" t="s">
        <v>18</v>
      </c>
      <c r="G3">
        <f>VLOOKUP(F3,选手工资!A4:B31,2,FALSE)</f>
        <v>5.5</v>
      </c>
      <c r="H3" t="s">
        <v>94</v>
      </c>
      <c r="I3">
        <v>1</v>
      </c>
      <c r="J3">
        <v>21</v>
      </c>
      <c r="K3">
        <v>11</v>
      </c>
      <c r="L3">
        <v>2</v>
      </c>
      <c r="M3">
        <v>10</v>
      </c>
      <c r="N3" s="2">
        <v>0.457</v>
      </c>
      <c r="O3" s="2">
        <v>0.221</v>
      </c>
      <c r="P3">
        <v>20454</v>
      </c>
      <c r="Q3">
        <v>280</v>
      </c>
      <c r="R3">
        <v>9</v>
      </c>
      <c r="S3">
        <v>722</v>
      </c>
      <c r="T3">
        <v>839</v>
      </c>
      <c r="U3">
        <v>1</v>
      </c>
      <c r="V3">
        <v>0</v>
      </c>
      <c r="W3">
        <v>0</v>
      </c>
      <c r="X3">
        <v>19867</v>
      </c>
      <c r="Y3">
        <v>8147</v>
      </c>
      <c r="Z3">
        <v>24485</v>
      </c>
      <c r="AA3" s="2">
        <v>0.33</v>
      </c>
      <c r="AB3">
        <v>313</v>
      </c>
      <c r="AC3" s="3">
        <v>0.0416666666666667</v>
      </c>
      <c r="AD3">
        <v>5</v>
      </c>
      <c r="AE3">
        <v>5013</v>
      </c>
      <c r="AF3">
        <v>7</v>
      </c>
      <c r="AG3">
        <v>0</v>
      </c>
      <c r="AH3">
        <v>0</v>
      </c>
      <c r="AI3">
        <v>1</v>
      </c>
    </row>
    <row r="4" spans="1:35">
      <c r="A4">
        <v>260506</v>
      </c>
      <c r="B4">
        <v>3</v>
      </c>
      <c r="C4" t="s">
        <v>72</v>
      </c>
      <c r="D4" t="s">
        <v>66</v>
      </c>
      <c r="E4">
        <v>46</v>
      </c>
      <c r="F4" t="s">
        <v>15</v>
      </c>
      <c r="G4">
        <f>VLOOKUP(F4,选手工资!A5:B32,2,FALSE)</f>
        <v>6</v>
      </c>
      <c r="H4" t="s">
        <v>69</v>
      </c>
      <c r="I4">
        <v>3</v>
      </c>
      <c r="J4">
        <v>21</v>
      </c>
      <c r="K4">
        <v>10</v>
      </c>
      <c r="L4">
        <v>3</v>
      </c>
      <c r="M4">
        <v>16</v>
      </c>
      <c r="N4" s="2">
        <v>0.565</v>
      </c>
      <c r="O4" s="2">
        <v>0.222</v>
      </c>
      <c r="P4">
        <v>17721</v>
      </c>
      <c r="Q4">
        <v>216</v>
      </c>
      <c r="R4">
        <v>16</v>
      </c>
      <c r="S4">
        <v>619</v>
      </c>
      <c r="T4">
        <v>848</v>
      </c>
      <c r="U4">
        <v>2</v>
      </c>
      <c r="V4">
        <v>2951</v>
      </c>
      <c r="W4">
        <v>0</v>
      </c>
      <c r="X4">
        <v>19893</v>
      </c>
      <c r="Y4">
        <v>3285</v>
      </c>
      <c r="Z4">
        <v>30562</v>
      </c>
      <c r="AA4" s="2">
        <v>0.456</v>
      </c>
      <c r="AB4">
        <v>434</v>
      </c>
      <c r="AC4" s="3">
        <v>0.0722222222222222</v>
      </c>
      <c r="AD4">
        <v>6</v>
      </c>
      <c r="AE4">
        <v>4345</v>
      </c>
      <c r="AF4">
        <v>7</v>
      </c>
      <c r="AG4">
        <v>50</v>
      </c>
      <c r="AH4">
        <v>0</v>
      </c>
      <c r="AI4">
        <v>1</v>
      </c>
    </row>
    <row r="5" spans="1:35">
      <c r="A5">
        <v>260506</v>
      </c>
      <c r="B5">
        <v>3</v>
      </c>
      <c r="C5" t="s">
        <v>72</v>
      </c>
      <c r="D5" t="s">
        <v>66</v>
      </c>
      <c r="E5">
        <v>46</v>
      </c>
      <c r="F5" t="s">
        <v>7</v>
      </c>
      <c r="G5">
        <f>VLOOKUP(F5,选手工资!A2:B29,2,FALSE)</f>
        <v>8</v>
      </c>
      <c r="H5" t="s">
        <v>87</v>
      </c>
      <c r="I5">
        <v>4</v>
      </c>
      <c r="J5">
        <v>15</v>
      </c>
      <c r="K5">
        <v>7</v>
      </c>
      <c r="L5">
        <v>6</v>
      </c>
      <c r="M5">
        <v>20</v>
      </c>
      <c r="N5" s="2">
        <v>0.587</v>
      </c>
      <c r="O5" s="2">
        <v>0.11</v>
      </c>
      <c r="P5">
        <v>8101</v>
      </c>
      <c r="Q5">
        <v>5</v>
      </c>
      <c r="R5">
        <v>5</v>
      </c>
      <c r="S5">
        <v>335</v>
      </c>
      <c r="T5">
        <v>435</v>
      </c>
      <c r="U5">
        <v>4</v>
      </c>
      <c r="V5">
        <v>0</v>
      </c>
      <c r="W5">
        <v>1</v>
      </c>
      <c r="X5">
        <v>9867</v>
      </c>
      <c r="Y5">
        <v>52</v>
      </c>
      <c r="Z5">
        <v>16167</v>
      </c>
      <c r="AA5" s="2">
        <v>0.253</v>
      </c>
      <c r="AB5">
        <v>587</v>
      </c>
      <c r="AC5" s="3">
        <v>0.127083333333333</v>
      </c>
      <c r="AD5">
        <v>1</v>
      </c>
      <c r="AE5">
        <v>2144</v>
      </c>
      <c r="AF5">
        <v>6</v>
      </c>
      <c r="AG5">
        <v>450</v>
      </c>
      <c r="AH5">
        <v>2</v>
      </c>
      <c r="AI5">
        <v>1</v>
      </c>
    </row>
    <row r="6" spans="1:35">
      <c r="A6">
        <v>260506</v>
      </c>
      <c r="B6">
        <v>3</v>
      </c>
      <c r="C6" t="s">
        <v>72</v>
      </c>
      <c r="D6" t="s">
        <v>66</v>
      </c>
      <c r="E6">
        <v>46</v>
      </c>
      <c r="F6" t="s">
        <v>17</v>
      </c>
      <c r="G6">
        <f>VLOOKUP(F6,选手工资!A3:B30,2,FALSE)</f>
        <v>5.5</v>
      </c>
      <c r="H6" t="s">
        <v>77</v>
      </c>
      <c r="I6">
        <v>5</v>
      </c>
      <c r="J6">
        <v>13</v>
      </c>
      <c r="K6">
        <v>5</v>
      </c>
      <c r="L6">
        <v>7</v>
      </c>
      <c r="M6">
        <v>17</v>
      </c>
      <c r="N6" s="2">
        <v>0.478</v>
      </c>
      <c r="O6" s="2">
        <v>0.101</v>
      </c>
      <c r="P6">
        <v>8539</v>
      </c>
      <c r="Q6">
        <v>30</v>
      </c>
      <c r="R6">
        <v>0</v>
      </c>
      <c r="S6">
        <v>321</v>
      </c>
      <c r="T6">
        <v>353</v>
      </c>
      <c r="U6">
        <v>0</v>
      </c>
      <c r="V6">
        <v>587</v>
      </c>
      <c r="W6">
        <v>0</v>
      </c>
      <c r="X6">
        <v>9109</v>
      </c>
      <c r="Y6">
        <v>940</v>
      </c>
      <c r="Z6">
        <v>15920</v>
      </c>
      <c r="AA6" s="2">
        <v>0.312</v>
      </c>
      <c r="AB6">
        <v>198</v>
      </c>
      <c r="AC6" s="3">
        <v>0.132638888888889</v>
      </c>
      <c r="AD6">
        <v>2</v>
      </c>
      <c r="AE6">
        <v>1894</v>
      </c>
      <c r="AF6">
        <v>5</v>
      </c>
      <c r="AG6">
        <v>750</v>
      </c>
      <c r="AH6">
        <v>5</v>
      </c>
      <c r="AI6">
        <v>12</v>
      </c>
    </row>
    <row r="7" spans="1:35">
      <c r="A7">
        <v>260506</v>
      </c>
      <c r="B7">
        <v>3</v>
      </c>
      <c r="C7" t="s">
        <v>65</v>
      </c>
      <c r="D7" t="s">
        <v>73</v>
      </c>
      <c r="E7">
        <v>19</v>
      </c>
      <c r="F7" t="s">
        <v>5</v>
      </c>
      <c r="G7">
        <v>10</v>
      </c>
      <c r="H7" t="s">
        <v>104</v>
      </c>
      <c r="I7">
        <v>3</v>
      </c>
      <c r="J7">
        <v>16</v>
      </c>
      <c r="K7">
        <v>2</v>
      </c>
      <c r="L7">
        <v>7</v>
      </c>
      <c r="M7">
        <v>7</v>
      </c>
      <c r="N7" s="2">
        <v>0.474</v>
      </c>
      <c r="O7" s="2">
        <v>0.251</v>
      </c>
      <c r="P7">
        <v>10153</v>
      </c>
      <c r="Q7">
        <v>220</v>
      </c>
      <c r="R7">
        <v>2</v>
      </c>
      <c r="S7">
        <v>403</v>
      </c>
      <c r="T7">
        <v>508</v>
      </c>
      <c r="U7">
        <v>0</v>
      </c>
      <c r="V7">
        <v>0</v>
      </c>
      <c r="W7">
        <v>0</v>
      </c>
      <c r="X7">
        <v>17675</v>
      </c>
      <c r="Y7">
        <v>35</v>
      </c>
      <c r="Z7">
        <v>36775</v>
      </c>
      <c r="AA7" s="2">
        <v>0.317</v>
      </c>
      <c r="AB7">
        <v>1314</v>
      </c>
      <c r="AC7" s="3">
        <v>0.193055555555556</v>
      </c>
      <c r="AD7">
        <v>7</v>
      </c>
      <c r="AE7">
        <v>3736</v>
      </c>
      <c r="AF7">
        <v>7</v>
      </c>
      <c r="AG7">
        <v>50</v>
      </c>
      <c r="AH7">
        <v>1</v>
      </c>
      <c r="AI7">
        <v>0</v>
      </c>
    </row>
    <row r="8" spans="1:35">
      <c r="A8">
        <v>260506</v>
      </c>
      <c r="B8">
        <v>3</v>
      </c>
      <c r="C8" t="s">
        <v>65</v>
      </c>
      <c r="D8" t="s">
        <v>73</v>
      </c>
      <c r="E8">
        <v>19</v>
      </c>
      <c r="F8" t="s">
        <v>19</v>
      </c>
      <c r="G8">
        <f>VLOOKUP(F8,选手工资!A9:B36,2,FALSE)</f>
        <v>5</v>
      </c>
      <c r="H8" t="s">
        <v>100</v>
      </c>
      <c r="I8">
        <v>1</v>
      </c>
      <c r="J8">
        <v>17</v>
      </c>
      <c r="K8">
        <v>9</v>
      </c>
      <c r="L8">
        <v>8</v>
      </c>
      <c r="M8">
        <v>8</v>
      </c>
      <c r="N8" s="2">
        <v>0.895</v>
      </c>
      <c r="O8" s="2">
        <v>0.286</v>
      </c>
      <c r="P8">
        <v>13695</v>
      </c>
      <c r="Q8">
        <v>187</v>
      </c>
      <c r="R8">
        <v>9</v>
      </c>
      <c r="S8">
        <v>523</v>
      </c>
      <c r="T8">
        <v>594</v>
      </c>
      <c r="U8">
        <v>0</v>
      </c>
      <c r="V8">
        <v>0</v>
      </c>
      <c r="W8">
        <v>0</v>
      </c>
      <c r="X8">
        <v>20130</v>
      </c>
      <c r="Y8">
        <v>0</v>
      </c>
      <c r="Z8">
        <v>28084</v>
      </c>
      <c r="AA8" s="2">
        <v>0.468</v>
      </c>
      <c r="AB8">
        <v>1460</v>
      </c>
      <c r="AC8" s="3">
        <v>0.1875</v>
      </c>
      <c r="AD8">
        <v>8</v>
      </c>
      <c r="AE8">
        <v>4141</v>
      </c>
      <c r="AF8">
        <v>6</v>
      </c>
      <c r="AG8">
        <v>0</v>
      </c>
      <c r="AH8">
        <v>0</v>
      </c>
      <c r="AI8">
        <v>0</v>
      </c>
    </row>
    <row r="9" spans="1:35">
      <c r="A9">
        <v>260506</v>
      </c>
      <c r="B9">
        <v>3</v>
      </c>
      <c r="C9" t="s">
        <v>65</v>
      </c>
      <c r="D9" t="s">
        <v>73</v>
      </c>
      <c r="E9">
        <v>19</v>
      </c>
      <c r="F9" t="s">
        <v>6</v>
      </c>
      <c r="G9">
        <v>8</v>
      </c>
      <c r="H9" t="s">
        <v>105</v>
      </c>
      <c r="I9">
        <v>2</v>
      </c>
      <c r="J9">
        <v>13</v>
      </c>
      <c r="K9">
        <v>1</v>
      </c>
      <c r="L9">
        <v>10</v>
      </c>
      <c r="M9">
        <v>6</v>
      </c>
      <c r="N9" s="2">
        <v>0.368</v>
      </c>
      <c r="O9" s="2">
        <v>0.167</v>
      </c>
      <c r="P9">
        <v>6389</v>
      </c>
      <c r="Q9">
        <v>108</v>
      </c>
      <c r="R9">
        <v>8</v>
      </c>
      <c r="S9">
        <v>279</v>
      </c>
      <c r="T9">
        <v>372</v>
      </c>
      <c r="U9">
        <v>1</v>
      </c>
      <c r="V9">
        <v>0</v>
      </c>
      <c r="W9">
        <v>0</v>
      </c>
      <c r="X9">
        <v>11743</v>
      </c>
      <c r="Y9">
        <v>0</v>
      </c>
      <c r="Z9">
        <v>30209</v>
      </c>
      <c r="AA9" s="2">
        <v>0.35</v>
      </c>
      <c r="AB9">
        <v>1108</v>
      </c>
      <c r="AC9" s="3">
        <v>0.2125</v>
      </c>
      <c r="AD9">
        <v>10</v>
      </c>
      <c r="AE9">
        <v>2787</v>
      </c>
      <c r="AF9">
        <v>6</v>
      </c>
      <c r="AG9">
        <v>0</v>
      </c>
      <c r="AH9">
        <v>0</v>
      </c>
      <c r="AI9">
        <v>1</v>
      </c>
    </row>
    <row r="10" spans="1:35">
      <c r="A10">
        <v>260506</v>
      </c>
      <c r="B10">
        <v>3</v>
      </c>
      <c r="C10" t="s">
        <v>65</v>
      </c>
      <c r="D10" t="s">
        <v>73</v>
      </c>
      <c r="E10">
        <v>19</v>
      </c>
      <c r="F10" t="s">
        <v>27</v>
      </c>
      <c r="G10">
        <f>VLOOKUP(F10,选手工资!A8:B35,2,FALSE)</f>
        <v>3</v>
      </c>
      <c r="H10" t="s">
        <v>83</v>
      </c>
      <c r="I10">
        <v>5</v>
      </c>
      <c r="J10">
        <v>11</v>
      </c>
      <c r="K10">
        <v>5</v>
      </c>
      <c r="L10">
        <v>13</v>
      </c>
      <c r="M10">
        <v>10</v>
      </c>
      <c r="N10" s="2">
        <v>0.789</v>
      </c>
      <c r="O10" s="2">
        <v>0.13</v>
      </c>
      <c r="P10">
        <v>4700</v>
      </c>
      <c r="Q10">
        <v>18</v>
      </c>
      <c r="R10">
        <v>0</v>
      </c>
      <c r="S10">
        <v>246</v>
      </c>
      <c r="T10">
        <v>262</v>
      </c>
      <c r="U10">
        <v>1</v>
      </c>
      <c r="V10">
        <v>0</v>
      </c>
      <c r="W10">
        <v>0</v>
      </c>
      <c r="X10">
        <v>9129</v>
      </c>
      <c r="Y10">
        <v>0</v>
      </c>
      <c r="Z10">
        <v>25987</v>
      </c>
      <c r="AA10" s="2">
        <v>0.267</v>
      </c>
      <c r="AB10">
        <v>1221</v>
      </c>
      <c r="AC10" s="3">
        <v>0.252777777777778</v>
      </c>
      <c r="AD10">
        <v>4</v>
      </c>
      <c r="AE10">
        <v>2223</v>
      </c>
      <c r="AF10">
        <v>6</v>
      </c>
      <c r="AG10">
        <v>600</v>
      </c>
      <c r="AH10">
        <v>2</v>
      </c>
      <c r="AI10">
        <v>10</v>
      </c>
    </row>
    <row r="11" spans="1:35">
      <c r="A11">
        <v>260506</v>
      </c>
      <c r="B11">
        <v>3</v>
      </c>
      <c r="C11" t="s">
        <v>65</v>
      </c>
      <c r="D11" t="s">
        <v>73</v>
      </c>
      <c r="E11">
        <v>19</v>
      </c>
      <c r="F11" t="s">
        <v>16</v>
      </c>
      <c r="G11">
        <f>VLOOKUP(F11,选手工资!A7:B34,2,FALSE)</f>
        <v>6</v>
      </c>
      <c r="H11" t="s">
        <v>84</v>
      </c>
      <c r="I11">
        <v>4</v>
      </c>
      <c r="J11">
        <v>11</v>
      </c>
      <c r="K11">
        <v>2</v>
      </c>
      <c r="L11">
        <v>9</v>
      </c>
      <c r="M11">
        <v>6</v>
      </c>
      <c r="N11" s="2">
        <v>0.421</v>
      </c>
      <c r="O11" s="2">
        <v>0.167</v>
      </c>
      <c r="P11">
        <v>4829</v>
      </c>
      <c r="Q11">
        <v>33</v>
      </c>
      <c r="R11">
        <v>6</v>
      </c>
      <c r="S11">
        <v>226</v>
      </c>
      <c r="T11">
        <v>275</v>
      </c>
      <c r="U11">
        <v>2</v>
      </c>
      <c r="V11">
        <v>0</v>
      </c>
      <c r="W11">
        <v>0</v>
      </c>
      <c r="X11">
        <v>11726</v>
      </c>
      <c r="Y11">
        <v>0</v>
      </c>
      <c r="Z11">
        <v>17636</v>
      </c>
      <c r="AA11" s="2">
        <v>0.375</v>
      </c>
      <c r="AB11">
        <v>537</v>
      </c>
      <c r="AC11" s="3">
        <v>0.141666666666667</v>
      </c>
      <c r="AD11">
        <v>3</v>
      </c>
      <c r="AE11">
        <v>1498</v>
      </c>
      <c r="AF11">
        <v>5</v>
      </c>
      <c r="AG11">
        <v>450</v>
      </c>
      <c r="AH11">
        <v>1</v>
      </c>
      <c r="AI11">
        <v>1</v>
      </c>
    </row>
    <row r="14" spans="1:35">
      <c r="A14" s="1" t="s">
        <v>79</v>
      </c>
      <c r="B14" s="4">
        <v>8800194363</v>
      </c>
      <c r="C14" s="4"/>
    </row>
    <row r="15" spans="1:35">
      <c r="A15" s="1" t="s">
        <v>80</v>
      </c>
      <c r="B15" s="5" t="s">
        <v>106</v>
      </c>
    </row>
  </sheetData>
  <sortState ref="A2:AF11">
    <sortCondition ref="C2"/>
  </sortState>
  <mergeCells count="1">
    <mergeCell ref="B14:C1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cols>
    <col min="8" max="8" width="15.125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260506</v>
      </c>
      <c r="B2">
        <v>4</v>
      </c>
      <c r="C2" t="s">
        <v>72</v>
      </c>
      <c r="D2" t="s">
        <v>66</v>
      </c>
      <c r="E2">
        <v>46</v>
      </c>
      <c r="F2" t="s">
        <v>6</v>
      </c>
      <c r="G2">
        <f>VLOOKUP(F2,选手工资!A1:B28,2,FALSE)</f>
        <v>8</v>
      </c>
      <c r="H2" t="s">
        <v>107</v>
      </c>
      <c r="I2">
        <v>2</v>
      </c>
      <c r="J2">
        <v>30</v>
      </c>
      <c r="K2">
        <v>13</v>
      </c>
      <c r="L2">
        <v>6</v>
      </c>
      <c r="M2">
        <v>22</v>
      </c>
      <c r="N2" s="2">
        <v>0.761</v>
      </c>
      <c r="O2" s="2">
        <v>0.41</v>
      </c>
      <c r="P2">
        <v>37486</v>
      </c>
      <c r="Q2">
        <v>528</v>
      </c>
      <c r="R2">
        <v>5</v>
      </c>
      <c r="S2">
        <v>713</v>
      </c>
      <c r="T2">
        <v>1159</v>
      </c>
      <c r="U2">
        <v>7</v>
      </c>
      <c r="V2">
        <v>0</v>
      </c>
      <c r="W2">
        <v>1</v>
      </c>
      <c r="X2">
        <v>82237</v>
      </c>
      <c r="Y2">
        <v>5914</v>
      </c>
      <c r="Z2">
        <v>68410</v>
      </c>
      <c r="AA2" s="2">
        <v>0.497</v>
      </c>
      <c r="AB2">
        <v>1039</v>
      </c>
      <c r="AC2" s="3">
        <v>0.161111111111111</v>
      </c>
      <c r="AD2">
        <v>9</v>
      </c>
      <c r="AE2">
        <v>3777</v>
      </c>
      <c r="AF2">
        <v>7</v>
      </c>
      <c r="AG2">
        <v>100</v>
      </c>
      <c r="AH2">
        <v>2</v>
      </c>
      <c r="AI2">
        <v>2</v>
      </c>
    </row>
    <row r="3" spans="1:35">
      <c r="A3">
        <v>260506</v>
      </c>
      <c r="B3">
        <v>4</v>
      </c>
      <c r="C3" t="s">
        <v>72</v>
      </c>
      <c r="D3" t="s">
        <v>66</v>
      </c>
      <c r="E3">
        <v>46</v>
      </c>
      <c r="F3" t="s">
        <v>7</v>
      </c>
      <c r="G3">
        <f>VLOOKUP(F3,选手工资!A2:B29,2,FALSE)</f>
        <v>8</v>
      </c>
      <c r="H3" t="s">
        <v>69</v>
      </c>
      <c r="I3">
        <v>3</v>
      </c>
      <c r="J3">
        <v>29</v>
      </c>
      <c r="K3">
        <v>15</v>
      </c>
      <c r="L3">
        <v>5</v>
      </c>
      <c r="M3">
        <v>19</v>
      </c>
      <c r="N3" s="2">
        <v>0.739</v>
      </c>
      <c r="O3" s="2">
        <v>0.215</v>
      </c>
      <c r="P3">
        <v>35367</v>
      </c>
      <c r="Q3">
        <v>514</v>
      </c>
      <c r="R3">
        <v>16</v>
      </c>
      <c r="S3">
        <v>674</v>
      </c>
      <c r="T3">
        <v>1000</v>
      </c>
      <c r="U3">
        <v>5</v>
      </c>
      <c r="V3">
        <v>6182</v>
      </c>
      <c r="W3">
        <v>0</v>
      </c>
      <c r="X3">
        <v>43236</v>
      </c>
      <c r="Y3">
        <v>6337</v>
      </c>
      <c r="Z3">
        <v>102848</v>
      </c>
      <c r="AA3" s="2">
        <v>0.562</v>
      </c>
      <c r="AB3">
        <v>1843</v>
      </c>
      <c r="AC3" s="3">
        <v>0.220138888888889</v>
      </c>
      <c r="AD3">
        <v>5</v>
      </c>
      <c r="AE3">
        <v>4964</v>
      </c>
      <c r="AF3">
        <v>7</v>
      </c>
      <c r="AG3">
        <v>0</v>
      </c>
      <c r="AH3">
        <v>2</v>
      </c>
      <c r="AI3">
        <v>0</v>
      </c>
    </row>
    <row r="4" spans="1:35">
      <c r="A4">
        <v>260506</v>
      </c>
      <c r="B4">
        <v>4</v>
      </c>
      <c r="C4" t="s">
        <v>72</v>
      </c>
      <c r="D4" t="s">
        <v>66</v>
      </c>
      <c r="E4">
        <v>46</v>
      </c>
      <c r="F4" t="s">
        <v>19</v>
      </c>
      <c r="G4">
        <f>VLOOKUP(F4,选手工资!A4:B31,2,FALSE)</f>
        <v>5</v>
      </c>
      <c r="H4" t="s">
        <v>108</v>
      </c>
      <c r="I4">
        <v>1</v>
      </c>
      <c r="J4">
        <v>27</v>
      </c>
      <c r="K4">
        <v>6</v>
      </c>
      <c r="L4">
        <v>10</v>
      </c>
      <c r="M4">
        <v>16</v>
      </c>
      <c r="N4" s="2">
        <v>0.478</v>
      </c>
      <c r="O4" s="2">
        <v>0.139</v>
      </c>
      <c r="P4">
        <v>29241</v>
      </c>
      <c r="Q4">
        <v>560</v>
      </c>
      <c r="R4">
        <v>11</v>
      </c>
      <c r="S4">
        <v>634</v>
      </c>
      <c r="T4">
        <v>780</v>
      </c>
      <c r="U4">
        <v>0</v>
      </c>
      <c r="V4">
        <v>0</v>
      </c>
      <c r="W4">
        <v>0</v>
      </c>
      <c r="X4">
        <v>27914</v>
      </c>
      <c r="Y4">
        <v>550</v>
      </c>
      <c r="Z4">
        <v>87989</v>
      </c>
      <c r="AA4" s="2">
        <v>0.559</v>
      </c>
      <c r="AB4">
        <v>3861</v>
      </c>
      <c r="AC4" s="3">
        <v>0.366666666666667</v>
      </c>
      <c r="AD4">
        <v>6</v>
      </c>
      <c r="AE4">
        <v>3902</v>
      </c>
      <c r="AF4">
        <v>6</v>
      </c>
      <c r="AG4">
        <v>50</v>
      </c>
      <c r="AH4">
        <v>0</v>
      </c>
      <c r="AI4">
        <v>3</v>
      </c>
    </row>
    <row r="5" spans="1:35">
      <c r="A5">
        <v>260506</v>
      </c>
      <c r="B5">
        <v>4</v>
      </c>
      <c r="C5" t="s">
        <v>72</v>
      </c>
      <c r="D5" t="s">
        <v>66</v>
      </c>
      <c r="E5">
        <v>46</v>
      </c>
      <c r="F5" t="s">
        <v>17</v>
      </c>
      <c r="G5">
        <f>VLOOKUP(F5,选手工资!A3:B30,2,FALSE)</f>
        <v>5.5</v>
      </c>
      <c r="H5" t="s">
        <v>95</v>
      </c>
      <c r="I5">
        <v>4</v>
      </c>
      <c r="J5">
        <v>24</v>
      </c>
      <c r="K5">
        <v>9</v>
      </c>
      <c r="L5">
        <v>5</v>
      </c>
      <c r="M5">
        <v>23</v>
      </c>
      <c r="N5" s="2">
        <v>0.696</v>
      </c>
      <c r="O5" s="2">
        <v>0.108</v>
      </c>
      <c r="P5">
        <v>17557</v>
      </c>
      <c r="Q5">
        <v>50</v>
      </c>
      <c r="R5">
        <v>1</v>
      </c>
      <c r="S5">
        <v>339</v>
      </c>
      <c r="T5">
        <v>564</v>
      </c>
      <c r="U5">
        <v>0</v>
      </c>
      <c r="V5">
        <v>60</v>
      </c>
      <c r="W5">
        <v>1</v>
      </c>
      <c r="X5">
        <v>21655</v>
      </c>
      <c r="Y5">
        <v>140</v>
      </c>
      <c r="Z5">
        <v>40789</v>
      </c>
      <c r="AA5" s="2">
        <v>0.542</v>
      </c>
      <c r="AB5">
        <v>933</v>
      </c>
      <c r="AC5" s="3">
        <v>0.220138888888889</v>
      </c>
      <c r="AD5">
        <v>1</v>
      </c>
      <c r="AE5">
        <v>2936</v>
      </c>
      <c r="AF5">
        <v>6</v>
      </c>
      <c r="AG5">
        <v>1350</v>
      </c>
      <c r="AH5">
        <v>5</v>
      </c>
      <c r="AI5">
        <v>19</v>
      </c>
    </row>
    <row r="6" spans="1:35">
      <c r="A6">
        <v>260506</v>
      </c>
      <c r="B6">
        <v>4</v>
      </c>
      <c r="C6" t="s">
        <v>72</v>
      </c>
      <c r="D6" t="s">
        <v>66</v>
      </c>
      <c r="E6">
        <v>46</v>
      </c>
      <c r="F6" t="s">
        <v>31</v>
      </c>
      <c r="G6">
        <f>VLOOKUP(F6,选手工资!A5:B32,2,FALSE)</f>
        <v>2</v>
      </c>
      <c r="H6" t="s">
        <v>109</v>
      </c>
      <c r="I6">
        <v>5</v>
      </c>
      <c r="J6">
        <v>25</v>
      </c>
      <c r="K6">
        <v>3</v>
      </c>
      <c r="L6">
        <v>10</v>
      </c>
      <c r="M6">
        <v>30</v>
      </c>
      <c r="N6" s="2">
        <v>0.717</v>
      </c>
      <c r="O6" s="2">
        <v>0.128</v>
      </c>
      <c r="P6">
        <v>21681</v>
      </c>
      <c r="Q6">
        <v>92</v>
      </c>
      <c r="R6">
        <v>1</v>
      </c>
      <c r="S6">
        <v>442</v>
      </c>
      <c r="T6">
        <v>672</v>
      </c>
      <c r="U6">
        <v>1</v>
      </c>
      <c r="V6">
        <v>156</v>
      </c>
      <c r="W6">
        <v>0</v>
      </c>
      <c r="X6">
        <v>25744</v>
      </c>
      <c r="Y6">
        <v>3045</v>
      </c>
      <c r="Z6">
        <v>82787</v>
      </c>
      <c r="AA6" s="2">
        <v>0.481</v>
      </c>
      <c r="AB6">
        <v>2209</v>
      </c>
      <c r="AC6" s="3">
        <v>0.349305555555556</v>
      </c>
      <c r="AD6">
        <v>2</v>
      </c>
      <c r="AE6">
        <v>1510</v>
      </c>
      <c r="AF6">
        <v>5</v>
      </c>
      <c r="AG6">
        <v>200</v>
      </c>
      <c r="AH6">
        <v>1</v>
      </c>
      <c r="AI6">
        <v>4</v>
      </c>
    </row>
    <row r="7" spans="1:35">
      <c r="A7">
        <v>260506</v>
      </c>
      <c r="B7">
        <v>4</v>
      </c>
      <c r="C7" t="s">
        <v>65</v>
      </c>
      <c r="D7" t="s">
        <v>73</v>
      </c>
      <c r="E7">
        <v>36</v>
      </c>
      <c r="F7" t="s">
        <v>5</v>
      </c>
      <c r="G7">
        <v>10</v>
      </c>
      <c r="H7" t="s">
        <v>110</v>
      </c>
      <c r="I7">
        <v>2</v>
      </c>
      <c r="J7">
        <v>27</v>
      </c>
      <c r="K7">
        <v>18</v>
      </c>
      <c r="L7">
        <v>9</v>
      </c>
      <c r="M7">
        <v>7</v>
      </c>
      <c r="N7" s="2">
        <v>0.694</v>
      </c>
      <c r="O7" s="2">
        <v>0.332</v>
      </c>
      <c r="P7">
        <v>28251</v>
      </c>
      <c r="Q7">
        <v>347</v>
      </c>
      <c r="R7">
        <v>7</v>
      </c>
      <c r="S7">
        <v>604</v>
      </c>
      <c r="T7">
        <v>842</v>
      </c>
      <c r="U7">
        <v>6</v>
      </c>
      <c r="V7">
        <v>4343</v>
      </c>
      <c r="W7">
        <v>0</v>
      </c>
      <c r="X7">
        <v>59963</v>
      </c>
      <c r="Y7">
        <v>3779</v>
      </c>
      <c r="Z7">
        <v>88533</v>
      </c>
      <c r="AA7" s="2">
        <v>0.42</v>
      </c>
      <c r="AB7">
        <v>2818</v>
      </c>
      <c r="AC7" s="3">
        <v>0.342361111111111</v>
      </c>
      <c r="AD7">
        <v>10</v>
      </c>
      <c r="AE7">
        <v>3916</v>
      </c>
      <c r="AF7">
        <v>9</v>
      </c>
      <c r="AG7">
        <v>100</v>
      </c>
      <c r="AH7">
        <v>1</v>
      </c>
      <c r="AI7">
        <v>1</v>
      </c>
    </row>
    <row r="8" spans="1:35">
      <c r="A8">
        <v>260506</v>
      </c>
      <c r="B8">
        <v>4</v>
      </c>
      <c r="C8" t="s">
        <v>65</v>
      </c>
      <c r="D8" t="s">
        <v>73</v>
      </c>
      <c r="E8">
        <v>36</v>
      </c>
      <c r="F8" t="s">
        <v>15</v>
      </c>
      <c r="G8">
        <f>VLOOKUP(F8,选手工资!A9:B36,2,FALSE)</f>
        <v>6</v>
      </c>
      <c r="H8" t="s">
        <v>101</v>
      </c>
      <c r="I8">
        <v>1</v>
      </c>
      <c r="J8">
        <v>28</v>
      </c>
      <c r="K8">
        <v>6</v>
      </c>
      <c r="L8">
        <v>6</v>
      </c>
      <c r="M8">
        <v>9</v>
      </c>
      <c r="N8" s="2">
        <v>0.417</v>
      </c>
      <c r="O8" s="2">
        <v>0.243</v>
      </c>
      <c r="P8">
        <v>37999</v>
      </c>
      <c r="Q8">
        <v>648</v>
      </c>
      <c r="R8">
        <v>19</v>
      </c>
      <c r="S8">
        <v>727</v>
      </c>
      <c r="T8">
        <v>912</v>
      </c>
      <c r="U8">
        <v>2</v>
      </c>
      <c r="V8">
        <v>0</v>
      </c>
      <c r="W8">
        <v>1</v>
      </c>
      <c r="X8">
        <v>43868</v>
      </c>
      <c r="Y8">
        <v>6931</v>
      </c>
      <c r="Z8">
        <v>60956</v>
      </c>
      <c r="AA8" s="2">
        <v>0.503</v>
      </c>
      <c r="AB8">
        <v>2020</v>
      </c>
      <c r="AC8" s="3">
        <v>0.202777777777778</v>
      </c>
      <c r="AD8">
        <v>8</v>
      </c>
      <c r="AE8">
        <v>3508</v>
      </c>
      <c r="AF8">
        <v>6</v>
      </c>
      <c r="AG8">
        <v>100</v>
      </c>
      <c r="AH8">
        <v>2</v>
      </c>
      <c r="AI8">
        <v>5</v>
      </c>
    </row>
    <row r="9" spans="1:35">
      <c r="A9">
        <v>260506</v>
      </c>
      <c r="B9">
        <v>4</v>
      </c>
      <c r="C9" t="s">
        <v>65</v>
      </c>
      <c r="D9" t="s">
        <v>73</v>
      </c>
      <c r="E9">
        <v>36</v>
      </c>
      <c r="F9" t="s">
        <v>21</v>
      </c>
      <c r="G9">
        <f>VLOOKUP(F9,选手工资!A10:B37,2,FALSE)</f>
        <v>4.5</v>
      </c>
      <c r="H9" t="s">
        <v>76</v>
      </c>
      <c r="I9">
        <v>3</v>
      </c>
      <c r="J9">
        <v>26</v>
      </c>
      <c r="K9">
        <v>5</v>
      </c>
      <c r="L9">
        <v>8</v>
      </c>
      <c r="M9">
        <v>18</v>
      </c>
      <c r="N9" s="2">
        <v>0.639</v>
      </c>
      <c r="O9" s="2">
        <v>0.18</v>
      </c>
      <c r="P9">
        <v>24310</v>
      </c>
      <c r="Q9">
        <v>330</v>
      </c>
      <c r="R9">
        <v>7</v>
      </c>
      <c r="S9">
        <v>515</v>
      </c>
      <c r="T9">
        <v>750</v>
      </c>
      <c r="U9">
        <v>4</v>
      </c>
      <c r="V9">
        <v>3000</v>
      </c>
      <c r="W9">
        <v>2</v>
      </c>
      <c r="X9">
        <v>32475</v>
      </c>
      <c r="Y9">
        <v>510</v>
      </c>
      <c r="Z9">
        <v>114407</v>
      </c>
      <c r="AA9" s="2">
        <v>0.517</v>
      </c>
      <c r="AB9">
        <v>2706</v>
      </c>
      <c r="AC9" s="3">
        <v>0.243055555555556</v>
      </c>
      <c r="AD9">
        <v>4</v>
      </c>
      <c r="AE9">
        <v>4126</v>
      </c>
      <c r="AF9">
        <v>6</v>
      </c>
      <c r="AG9">
        <v>0</v>
      </c>
      <c r="AH9">
        <v>1</v>
      </c>
      <c r="AI9">
        <v>2</v>
      </c>
    </row>
    <row r="10" spans="1:35">
      <c r="A10">
        <v>260506</v>
      </c>
      <c r="B10">
        <v>4</v>
      </c>
      <c r="C10" t="s">
        <v>65</v>
      </c>
      <c r="D10" t="s">
        <v>73</v>
      </c>
      <c r="E10">
        <v>36</v>
      </c>
      <c r="F10" t="s">
        <v>27</v>
      </c>
      <c r="G10">
        <f>VLOOKUP(F10,选手工资!A8:B35,2,FALSE)</f>
        <v>3</v>
      </c>
      <c r="H10" t="s">
        <v>111</v>
      </c>
      <c r="I10">
        <v>5</v>
      </c>
      <c r="J10">
        <v>25</v>
      </c>
      <c r="K10">
        <v>2</v>
      </c>
      <c r="L10">
        <v>12</v>
      </c>
      <c r="M10">
        <v>19</v>
      </c>
      <c r="N10" s="2">
        <v>0.583</v>
      </c>
      <c r="O10" s="2">
        <v>0.102</v>
      </c>
      <c r="P10">
        <v>12752</v>
      </c>
      <c r="Q10">
        <v>92</v>
      </c>
      <c r="R10">
        <v>0</v>
      </c>
      <c r="S10">
        <v>321</v>
      </c>
      <c r="T10">
        <v>626</v>
      </c>
      <c r="U10">
        <v>2</v>
      </c>
      <c r="V10">
        <v>0</v>
      </c>
      <c r="W10">
        <v>2</v>
      </c>
      <c r="X10">
        <v>18534</v>
      </c>
      <c r="Y10">
        <v>44</v>
      </c>
      <c r="Z10">
        <v>40457</v>
      </c>
      <c r="AA10" s="2">
        <v>0.35</v>
      </c>
      <c r="AB10">
        <v>1448</v>
      </c>
      <c r="AC10" s="3">
        <v>0.286805555555556</v>
      </c>
      <c r="AD10">
        <v>3</v>
      </c>
      <c r="AE10">
        <v>1770</v>
      </c>
      <c r="AF10">
        <v>6</v>
      </c>
      <c r="AG10">
        <v>900</v>
      </c>
      <c r="AH10">
        <v>2</v>
      </c>
      <c r="AI10">
        <v>6</v>
      </c>
    </row>
    <row r="11" spans="1:35">
      <c r="A11">
        <v>260506</v>
      </c>
      <c r="B11">
        <v>4</v>
      </c>
      <c r="C11" t="s">
        <v>65</v>
      </c>
      <c r="D11" t="s">
        <v>73</v>
      </c>
      <c r="E11">
        <v>36</v>
      </c>
      <c r="F11" t="s">
        <v>16</v>
      </c>
      <c r="G11">
        <f>VLOOKUP(F11,选手工资!A6:B33,2,FALSE)</f>
        <v>6</v>
      </c>
      <c r="H11" t="s">
        <v>102</v>
      </c>
      <c r="I11">
        <v>4</v>
      </c>
      <c r="J11">
        <v>25</v>
      </c>
      <c r="K11">
        <v>5</v>
      </c>
      <c r="L11">
        <v>11</v>
      </c>
      <c r="M11">
        <v>19</v>
      </c>
      <c r="N11" s="2">
        <v>0.667</v>
      </c>
      <c r="O11" s="2">
        <v>0.144</v>
      </c>
      <c r="P11">
        <v>15015</v>
      </c>
      <c r="Q11">
        <v>107</v>
      </c>
      <c r="R11">
        <v>7</v>
      </c>
      <c r="S11">
        <v>355</v>
      </c>
      <c r="T11">
        <v>640</v>
      </c>
      <c r="U11">
        <v>3</v>
      </c>
      <c r="V11">
        <v>240</v>
      </c>
      <c r="W11">
        <v>1</v>
      </c>
      <c r="X11">
        <v>26001</v>
      </c>
      <c r="Y11">
        <v>62</v>
      </c>
      <c r="Z11">
        <v>56042</v>
      </c>
      <c r="AA11" s="2">
        <v>0.329</v>
      </c>
      <c r="AB11">
        <v>1495</v>
      </c>
      <c r="AC11" s="3">
        <v>0.311805555555556</v>
      </c>
      <c r="AD11">
        <v>7</v>
      </c>
      <c r="AE11">
        <v>2230</v>
      </c>
      <c r="AF11">
        <v>5</v>
      </c>
      <c r="AG11">
        <v>1800</v>
      </c>
      <c r="AH11">
        <v>4</v>
      </c>
      <c r="AI11">
        <v>4</v>
      </c>
    </row>
    <row r="14" spans="1:35">
      <c r="A14" s="1" t="s">
        <v>79</v>
      </c>
      <c r="B14" s="4">
        <v>8800244965</v>
      </c>
      <c r="C14" s="4"/>
    </row>
    <row r="15" spans="1:35">
      <c r="A15" s="1" t="s">
        <v>80</v>
      </c>
      <c r="B15" s="5" t="s">
        <v>112</v>
      </c>
    </row>
  </sheetData>
  <sortState ref="A2:AF11">
    <sortCondition ref="C2"/>
  </sortState>
  <mergeCells count="1">
    <mergeCell ref="B14:C1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1" topLeftCell="I12" activePane="bottomRight" state="frozen"/>
      <selection/>
      <selection pane="topRight"/>
      <selection pane="bottomLeft"/>
      <selection pane="bottomRight" activeCell="N8" sqref="N8"/>
    </sheetView>
  </sheetViews>
  <sheetFormatPr defaultColWidth="9.25" defaultRowHeight="16.8"/>
  <cols>
    <col min="6" max="8" width="12.875"/>
    <col min="31" max="32" width="12.5384615384615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260507</v>
      </c>
      <c r="B2">
        <v>1</v>
      </c>
      <c r="C2" t="s">
        <v>72</v>
      </c>
      <c r="D2" t="s">
        <v>66</v>
      </c>
      <c r="E2">
        <v>58</v>
      </c>
      <c r="F2" t="s">
        <v>7</v>
      </c>
      <c r="G2">
        <f>VLOOKUP(F2,选手工资!A1:B28,2,FALSE)</f>
        <v>8</v>
      </c>
      <c r="H2" t="s">
        <v>71</v>
      </c>
      <c r="I2">
        <v>1</v>
      </c>
      <c r="J2">
        <v>26</v>
      </c>
      <c r="K2">
        <v>26</v>
      </c>
      <c r="L2">
        <v>2</v>
      </c>
      <c r="M2">
        <v>20</v>
      </c>
      <c r="N2" s="2">
        <v>0.793</v>
      </c>
      <c r="O2" s="2">
        <v>0.308</v>
      </c>
      <c r="P2">
        <v>26856</v>
      </c>
      <c r="Q2">
        <v>311</v>
      </c>
      <c r="R2">
        <v>17</v>
      </c>
      <c r="S2">
        <v>774</v>
      </c>
      <c r="T2">
        <v>1091</v>
      </c>
      <c r="U2">
        <v>2</v>
      </c>
      <c r="V2">
        <v>0</v>
      </c>
      <c r="W2">
        <v>0</v>
      </c>
      <c r="X2">
        <v>41895</v>
      </c>
      <c r="Y2">
        <v>12049</v>
      </c>
      <c r="Z2">
        <v>41420</v>
      </c>
      <c r="AA2" s="2">
        <v>0.408</v>
      </c>
      <c r="AB2">
        <v>585</v>
      </c>
      <c r="AC2" s="3">
        <v>0.075</v>
      </c>
      <c r="AD2">
        <v>9</v>
      </c>
      <c r="AE2">
        <v>4763</v>
      </c>
      <c r="AF2">
        <v>8</v>
      </c>
      <c r="AG2">
        <v>0</v>
      </c>
      <c r="AH2">
        <v>0</v>
      </c>
      <c r="AI2">
        <v>0</v>
      </c>
    </row>
    <row r="3" spans="1:35">
      <c r="A3">
        <v>260507</v>
      </c>
      <c r="B3">
        <v>1</v>
      </c>
      <c r="C3" t="s">
        <v>72</v>
      </c>
      <c r="D3" t="s">
        <v>66</v>
      </c>
      <c r="E3">
        <v>58</v>
      </c>
      <c r="F3" t="s">
        <v>9</v>
      </c>
      <c r="G3">
        <f>VLOOKUP(F3,选手工资!A3:B30,2,FALSE)</f>
        <v>7.5</v>
      </c>
      <c r="H3" t="s">
        <v>92</v>
      </c>
      <c r="I3">
        <v>2</v>
      </c>
      <c r="J3">
        <v>25</v>
      </c>
      <c r="K3">
        <v>15</v>
      </c>
      <c r="L3">
        <v>1</v>
      </c>
      <c r="M3">
        <v>36</v>
      </c>
      <c r="N3" s="2">
        <v>0.879</v>
      </c>
      <c r="O3" s="2">
        <v>0.38</v>
      </c>
      <c r="P3">
        <v>22610</v>
      </c>
      <c r="Q3">
        <v>232</v>
      </c>
      <c r="R3">
        <v>2</v>
      </c>
      <c r="S3">
        <v>636</v>
      </c>
      <c r="T3">
        <v>977</v>
      </c>
      <c r="U3">
        <v>2</v>
      </c>
      <c r="V3">
        <v>0</v>
      </c>
      <c r="W3">
        <v>1</v>
      </c>
      <c r="X3">
        <v>51623</v>
      </c>
      <c r="Y3">
        <v>1394</v>
      </c>
      <c r="Z3">
        <v>37401</v>
      </c>
      <c r="AA3" s="2">
        <v>0.538</v>
      </c>
      <c r="AB3">
        <v>417</v>
      </c>
      <c r="AC3" s="3">
        <v>0.05625</v>
      </c>
      <c r="AD3">
        <v>5</v>
      </c>
      <c r="AE3">
        <v>3626</v>
      </c>
      <c r="AF3">
        <v>7</v>
      </c>
      <c r="AG3">
        <v>0</v>
      </c>
      <c r="AH3">
        <v>0</v>
      </c>
      <c r="AI3">
        <v>1</v>
      </c>
    </row>
    <row r="4" spans="1:35">
      <c r="A4">
        <v>260507</v>
      </c>
      <c r="B4">
        <v>1</v>
      </c>
      <c r="C4" t="s">
        <v>72</v>
      </c>
      <c r="D4" t="s">
        <v>66</v>
      </c>
      <c r="E4">
        <v>58</v>
      </c>
      <c r="F4" t="s">
        <v>14</v>
      </c>
      <c r="G4">
        <f>VLOOKUP(F4,选手工资!A4:B31,2,FALSE)</f>
        <v>6.5</v>
      </c>
      <c r="H4" t="s">
        <v>78</v>
      </c>
      <c r="I4">
        <v>4</v>
      </c>
      <c r="J4">
        <v>20</v>
      </c>
      <c r="K4">
        <v>5</v>
      </c>
      <c r="L4">
        <v>6</v>
      </c>
      <c r="M4">
        <v>31</v>
      </c>
      <c r="N4" s="2">
        <v>0.621</v>
      </c>
      <c r="O4" s="2">
        <v>0.112</v>
      </c>
      <c r="P4">
        <v>12550</v>
      </c>
      <c r="Q4">
        <v>45</v>
      </c>
      <c r="R4">
        <v>1</v>
      </c>
      <c r="S4">
        <v>388</v>
      </c>
      <c r="T4">
        <v>600</v>
      </c>
      <c r="U4">
        <v>5</v>
      </c>
      <c r="V4">
        <v>0</v>
      </c>
      <c r="W4">
        <v>0</v>
      </c>
      <c r="X4">
        <v>15265</v>
      </c>
      <c r="Y4">
        <v>178</v>
      </c>
      <c r="Z4">
        <v>31802</v>
      </c>
      <c r="AA4" s="2">
        <v>0.47</v>
      </c>
      <c r="AB4">
        <v>719</v>
      </c>
      <c r="AC4" s="3">
        <v>0.139583333333333</v>
      </c>
      <c r="AD4">
        <v>2</v>
      </c>
      <c r="AE4">
        <v>1906</v>
      </c>
      <c r="AF4">
        <v>5</v>
      </c>
      <c r="AG4">
        <v>360</v>
      </c>
      <c r="AH4">
        <v>0</v>
      </c>
      <c r="AI4">
        <v>10</v>
      </c>
    </row>
    <row r="5" spans="1:35">
      <c r="A5">
        <v>260507</v>
      </c>
      <c r="B5">
        <v>1</v>
      </c>
      <c r="C5" t="s">
        <v>72</v>
      </c>
      <c r="D5" t="s">
        <v>66</v>
      </c>
      <c r="E5">
        <v>58</v>
      </c>
      <c r="F5" t="s">
        <v>26</v>
      </c>
      <c r="G5">
        <f>VLOOKUP(F5,选手工资!A2:B29,2,FALSE)</f>
        <v>3</v>
      </c>
      <c r="H5" t="s">
        <v>113</v>
      </c>
      <c r="I5">
        <v>5</v>
      </c>
      <c r="J5">
        <v>19</v>
      </c>
      <c r="K5">
        <v>8</v>
      </c>
      <c r="L5">
        <v>10</v>
      </c>
      <c r="M5">
        <v>29</v>
      </c>
      <c r="N5" s="2">
        <v>0.638</v>
      </c>
      <c r="O5" s="2">
        <v>0.085</v>
      </c>
      <c r="P5">
        <v>12128</v>
      </c>
      <c r="Q5">
        <v>20</v>
      </c>
      <c r="R5">
        <v>1</v>
      </c>
      <c r="S5">
        <v>350</v>
      </c>
      <c r="T5">
        <v>559</v>
      </c>
      <c r="U5">
        <v>4</v>
      </c>
      <c r="V5">
        <v>195</v>
      </c>
      <c r="W5">
        <v>1</v>
      </c>
      <c r="X5">
        <v>11520</v>
      </c>
      <c r="Y5">
        <v>309</v>
      </c>
      <c r="Z5">
        <v>24932</v>
      </c>
      <c r="AA5" s="2">
        <v>0.277</v>
      </c>
      <c r="AB5">
        <v>1029</v>
      </c>
      <c r="AC5" s="3">
        <v>0.227777777777778</v>
      </c>
      <c r="AD5">
        <v>1</v>
      </c>
      <c r="AE5">
        <v>2335</v>
      </c>
      <c r="AF5">
        <v>5</v>
      </c>
      <c r="AG5">
        <v>1000</v>
      </c>
      <c r="AH5">
        <v>2</v>
      </c>
      <c r="AI5">
        <v>4</v>
      </c>
    </row>
    <row r="6" spans="1:35">
      <c r="A6">
        <v>260507</v>
      </c>
      <c r="B6">
        <v>1</v>
      </c>
      <c r="C6" t="s">
        <v>72</v>
      </c>
      <c r="D6" t="s">
        <v>66</v>
      </c>
      <c r="E6">
        <v>58</v>
      </c>
      <c r="F6" t="s">
        <v>22</v>
      </c>
      <c r="G6">
        <f>VLOOKUP(F6,选手工资!A5:B32,2,FALSE)</f>
        <v>4</v>
      </c>
      <c r="H6" t="s">
        <v>114</v>
      </c>
      <c r="I6">
        <v>3</v>
      </c>
      <c r="J6">
        <v>20</v>
      </c>
      <c r="K6">
        <v>4</v>
      </c>
      <c r="L6">
        <v>9</v>
      </c>
      <c r="M6">
        <v>26</v>
      </c>
      <c r="N6" s="2">
        <v>0.517</v>
      </c>
      <c r="O6" s="2">
        <v>0.116</v>
      </c>
      <c r="P6">
        <v>14109</v>
      </c>
      <c r="Q6">
        <v>127</v>
      </c>
      <c r="R6">
        <v>1</v>
      </c>
      <c r="S6">
        <v>396</v>
      </c>
      <c r="T6">
        <v>616</v>
      </c>
      <c r="U6">
        <v>1</v>
      </c>
      <c r="V6">
        <v>0</v>
      </c>
      <c r="W6">
        <v>0</v>
      </c>
      <c r="X6">
        <v>15713</v>
      </c>
      <c r="Y6">
        <v>954</v>
      </c>
      <c r="Z6">
        <v>23935</v>
      </c>
      <c r="AA6" s="2">
        <v>0.304</v>
      </c>
      <c r="AB6">
        <v>572</v>
      </c>
      <c r="AC6" s="3">
        <v>0.163194444444444</v>
      </c>
      <c r="AD6">
        <v>6</v>
      </c>
      <c r="AE6">
        <v>2440</v>
      </c>
      <c r="AF6">
        <v>4</v>
      </c>
      <c r="AG6">
        <v>0</v>
      </c>
      <c r="AH6">
        <v>2</v>
      </c>
      <c r="AI6">
        <v>0</v>
      </c>
    </row>
    <row r="7" spans="1:35">
      <c r="A7">
        <v>260507</v>
      </c>
      <c r="B7">
        <v>1</v>
      </c>
      <c r="C7" t="s">
        <v>65</v>
      </c>
      <c r="D7" t="s">
        <v>73</v>
      </c>
      <c r="E7">
        <v>28</v>
      </c>
      <c r="F7" t="s">
        <v>6</v>
      </c>
      <c r="G7">
        <v>8</v>
      </c>
      <c r="H7" t="s">
        <v>101</v>
      </c>
      <c r="I7">
        <v>2</v>
      </c>
      <c r="J7">
        <v>20</v>
      </c>
      <c r="K7">
        <v>10</v>
      </c>
      <c r="L7">
        <v>10</v>
      </c>
      <c r="M7">
        <v>9</v>
      </c>
      <c r="N7" s="2">
        <v>0.679</v>
      </c>
      <c r="O7" s="2">
        <v>0.324</v>
      </c>
      <c r="P7">
        <v>13466</v>
      </c>
      <c r="Q7">
        <v>163</v>
      </c>
      <c r="R7">
        <v>24</v>
      </c>
      <c r="S7">
        <v>431</v>
      </c>
      <c r="T7">
        <v>630</v>
      </c>
      <c r="U7">
        <v>0</v>
      </c>
      <c r="V7">
        <v>0</v>
      </c>
      <c r="W7">
        <v>0</v>
      </c>
      <c r="X7">
        <v>30209</v>
      </c>
      <c r="Y7">
        <v>0</v>
      </c>
      <c r="Z7">
        <v>58878</v>
      </c>
      <c r="AA7" s="2">
        <v>0.437</v>
      </c>
      <c r="AB7">
        <v>1723</v>
      </c>
      <c r="AC7" s="3">
        <v>0.3</v>
      </c>
      <c r="AD7">
        <v>10</v>
      </c>
      <c r="AE7">
        <v>4323</v>
      </c>
      <c r="AF7">
        <v>8</v>
      </c>
      <c r="AG7">
        <v>300</v>
      </c>
      <c r="AH7">
        <v>0</v>
      </c>
      <c r="AI7">
        <v>3</v>
      </c>
    </row>
    <row r="8" spans="1:35">
      <c r="A8">
        <v>260507</v>
      </c>
      <c r="B8">
        <v>1</v>
      </c>
      <c r="C8" t="s">
        <v>65</v>
      </c>
      <c r="D8" t="s">
        <v>73</v>
      </c>
      <c r="E8">
        <v>28</v>
      </c>
      <c r="F8" t="s">
        <v>5</v>
      </c>
      <c r="G8">
        <v>10</v>
      </c>
      <c r="H8" t="s">
        <v>115</v>
      </c>
      <c r="I8">
        <v>1</v>
      </c>
      <c r="J8">
        <v>23</v>
      </c>
      <c r="K8">
        <v>10</v>
      </c>
      <c r="L8">
        <v>8</v>
      </c>
      <c r="M8">
        <v>13</v>
      </c>
      <c r="N8" s="2">
        <v>0.821</v>
      </c>
      <c r="O8" s="2">
        <v>0.325</v>
      </c>
      <c r="P8">
        <v>17796</v>
      </c>
      <c r="Q8">
        <v>265</v>
      </c>
      <c r="R8">
        <v>14</v>
      </c>
      <c r="S8">
        <v>566</v>
      </c>
      <c r="T8">
        <v>813</v>
      </c>
      <c r="U8">
        <v>0</v>
      </c>
      <c r="V8">
        <v>0</v>
      </c>
      <c r="W8">
        <v>0</v>
      </c>
      <c r="X8">
        <v>30307</v>
      </c>
      <c r="Y8">
        <v>728</v>
      </c>
      <c r="Z8">
        <v>55377</v>
      </c>
      <c r="AA8" s="2">
        <v>0.511</v>
      </c>
      <c r="AB8">
        <v>2443</v>
      </c>
      <c r="AC8" s="3">
        <v>0.307638888888889</v>
      </c>
      <c r="AD8">
        <v>8</v>
      </c>
      <c r="AE8">
        <v>4318</v>
      </c>
      <c r="AF8">
        <v>7</v>
      </c>
      <c r="AG8">
        <v>50</v>
      </c>
      <c r="AH8">
        <v>1</v>
      </c>
      <c r="AI8">
        <v>0</v>
      </c>
    </row>
    <row r="9" spans="1:35">
      <c r="A9">
        <v>260507</v>
      </c>
      <c r="B9">
        <v>1</v>
      </c>
      <c r="C9" t="s">
        <v>65</v>
      </c>
      <c r="D9" t="s">
        <v>73</v>
      </c>
      <c r="E9">
        <v>28</v>
      </c>
      <c r="F9" t="s">
        <v>23</v>
      </c>
      <c r="G9">
        <f>VLOOKUP(F9,选手工资!A6:B33,2,FALSE)</f>
        <v>4</v>
      </c>
      <c r="H9" t="s">
        <v>69</v>
      </c>
      <c r="I9">
        <v>3</v>
      </c>
      <c r="J9">
        <v>17</v>
      </c>
      <c r="K9">
        <v>3</v>
      </c>
      <c r="L9">
        <v>12</v>
      </c>
      <c r="M9">
        <v>7</v>
      </c>
      <c r="N9" s="2">
        <v>0.357</v>
      </c>
      <c r="O9" s="2">
        <v>0.168</v>
      </c>
      <c r="P9">
        <v>10486</v>
      </c>
      <c r="Q9">
        <v>172</v>
      </c>
      <c r="R9">
        <v>1</v>
      </c>
      <c r="S9">
        <v>340</v>
      </c>
      <c r="T9">
        <v>444</v>
      </c>
      <c r="U9">
        <v>4</v>
      </c>
      <c r="V9">
        <v>1064</v>
      </c>
      <c r="W9">
        <v>0</v>
      </c>
      <c r="X9">
        <v>15713</v>
      </c>
      <c r="Y9">
        <v>0</v>
      </c>
      <c r="Z9">
        <v>58120</v>
      </c>
      <c r="AA9" s="2">
        <v>0.438</v>
      </c>
      <c r="AB9">
        <v>1454</v>
      </c>
      <c r="AC9" s="3">
        <v>0.339583333333333</v>
      </c>
      <c r="AD9">
        <v>7</v>
      </c>
      <c r="AE9">
        <v>2596</v>
      </c>
      <c r="AF9">
        <v>6</v>
      </c>
      <c r="AG9">
        <v>240</v>
      </c>
      <c r="AH9">
        <v>1</v>
      </c>
      <c r="AI9">
        <v>0</v>
      </c>
    </row>
    <row r="10" spans="1:35">
      <c r="A10">
        <v>260507</v>
      </c>
      <c r="B10">
        <v>1</v>
      </c>
      <c r="C10" t="s">
        <v>65</v>
      </c>
      <c r="D10" t="s">
        <v>73</v>
      </c>
      <c r="E10">
        <v>28</v>
      </c>
      <c r="F10" t="s">
        <v>31</v>
      </c>
      <c r="G10">
        <f>VLOOKUP(F10,选手工资!A10:B37,2,FALSE)</f>
        <v>2</v>
      </c>
      <c r="H10" t="s">
        <v>83</v>
      </c>
      <c r="I10">
        <v>5</v>
      </c>
      <c r="J10">
        <v>13</v>
      </c>
      <c r="K10">
        <v>2</v>
      </c>
      <c r="L10">
        <v>15</v>
      </c>
      <c r="M10">
        <v>18</v>
      </c>
      <c r="N10" s="2">
        <v>0.714</v>
      </c>
      <c r="O10" s="2">
        <v>0.098</v>
      </c>
      <c r="P10">
        <v>5871</v>
      </c>
      <c r="Q10">
        <v>10</v>
      </c>
      <c r="R10">
        <v>2</v>
      </c>
      <c r="S10">
        <v>242</v>
      </c>
      <c r="T10">
        <v>280</v>
      </c>
      <c r="U10">
        <v>0</v>
      </c>
      <c r="V10">
        <v>0</v>
      </c>
      <c r="W10">
        <v>0</v>
      </c>
      <c r="X10">
        <v>9182</v>
      </c>
      <c r="Y10">
        <v>0</v>
      </c>
      <c r="Z10">
        <v>33124</v>
      </c>
      <c r="AA10" s="2">
        <v>0.384</v>
      </c>
      <c r="AB10">
        <v>1163</v>
      </c>
      <c r="AC10" s="3">
        <v>0.292361111111111</v>
      </c>
      <c r="AD10">
        <v>4</v>
      </c>
      <c r="AE10">
        <v>1592</v>
      </c>
      <c r="AF10">
        <v>5</v>
      </c>
      <c r="AG10">
        <v>450</v>
      </c>
      <c r="AH10">
        <v>0</v>
      </c>
      <c r="AI10">
        <v>4</v>
      </c>
    </row>
    <row r="11" spans="1:35">
      <c r="A11">
        <v>260507</v>
      </c>
      <c r="B11">
        <v>1</v>
      </c>
      <c r="C11" t="s">
        <v>65</v>
      </c>
      <c r="D11" t="s">
        <v>73</v>
      </c>
      <c r="E11">
        <v>28</v>
      </c>
      <c r="F11" t="s">
        <v>20</v>
      </c>
      <c r="G11">
        <f>VLOOKUP(F11,选手工资!A9:B36,2,FALSE)</f>
        <v>4.5</v>
      </c>
      <c r="H11" t="s">
        <v>116</v>
      </c>
      <c r="I11">
        <v>4</v>
      </c>
      <c r="J11">
        <v>13</v>
      </c>
      <c r="K11">
        <v>3</v>
      </c>
      <c r="L11">
        <v>13</v>
      </c>
      <c r="M11">
        <v>12</v>
      </c>
      <c r="N11" s="2">
        <v>0.536</v>
      </c>
      <c r="O11" s="2">
        <v>0.085</v>
      </c>
      <c r="P11">
        <v>6788</v>
      </c>
      <c r="Q11">
        <v>52</v>
      </c>
      <c r="R11">
        <v>1</v>
      </c>
      <c r="S11">
        <v>248</v>
      </c>
      <c r="T11">
        <v>279</v>
      </c>
      <c r="U11">
        <v>2</v>
      </c>
      <c r="V11">
        <v>0</v>
      </c>
      <c r="W11">
        <v>0</v>
      </c>
      <c r="X11">
        <v>7953</v>
      </c>
      <c r="Y11">
        <v>0</v>
      </c>
      <c r="Z11">
        <v>37184</v>
      </c>
      <c r="AA11" s="2">
        <v>0.387</v>
      </c>
      <c r="AB11">
        <v>1440</v>
      </c>
      <c r="AC11" s="3">
        <v>0.247916666666667</v>
      </c>
      <c r="AD11">
        <v>3</v>
      </c>
      <c r="AE11">
        <v>2124</v>
      </c>
      <c r="AF11">
        <v>3</v>
      </c>
      <c r="AG11">
        <v>260</v>
      </c>
      <c r="AH11">
        <v>3</v>
      </c>
      <c r="AI11">
        <v>2</v>
      </c>
    </row>
    <row r="14" spans="1:35">
      <c r="A14" s="1" t="s">
        <v>79</v>
      </c>
      <c r="B14" s="4">
        <v>8801269989</v>
      </c>
      <c r="C14" s="4"/>
    </row>
    <row r="15" spans="1:35">
      <c r="A15" s="1" t="s">
        <v>80</v>
      </c>
      <c r="B15" s="5" t="s">
        <v>117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1" topLeftCell="U1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6" max="7" width="12.875" customWidth="1"/>
    <col min="31" max="32" width="12.5384615384615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260507</v>
      </c>
      <c r="B2">
        <v>2</v>
      </c>
      <c r="C2" t="s">
        <v>72</v>
      </c>
      <c r="D2" t="s">
        <v>66</v>
      </c>
      <c r="E2">
        <v>59</v>
      </c>
      <c r="F2" t="s">
        <v>11</v>
      </c>
      <c r="G2">
        <f>VLOOKUP(F2,选手工资!A2:B29,2,FALSE)</f>
        <v>7.5</v>
      </c>
      <c r="H2" t="s">
        <v>84</v>
      </c>
      <c r="I2">
        <v>1</v>
      </c>
      <c r="J2">
        <v>29</v>
      </c>
      <c r="K2">
        <v>15</v>
      </c>
      <c r="L2">
        <v>8</v>
      </c>
      <c r="M2">
        <v>31</v>
      </c>
      <c r="N2" s="2">
        <v>0.78</v>
      </c>
      <c r="O2" s="2">
        <v>0.425</v>
      </c>
      <c r="P2">
        <v>40875</v>
      </c>
      <c r="Q2">
        <v>632</v>
      </c>
      <c r="R2">
        <v>16</v>
      </c>
      <c r="S2">
        <v>806</v>
      </c>
      <c r="T2">
        <v>1041</v>
      </c>
      <c r="U2">
        <v>4</v>
      </c>
      <c r="V2">
        <v>0</v>
      </c>
      <c r="W2">
        <v>1</v>
      </c>
      <c r="X2">
        <v>109153</v>
      </c>
      <c r="Y2">
        <v>15908</v>
      </c>
      <c r="Z2">
        <v>101302</v>
      </c>
      <c r="AA2" s="2">
        <v>0.397</v>
      </c>
      <c r="AB2">
        <v>3900</v>
      </c>
      <c r="AC2" s="3">
        <v>0.329861111111111</v>
      </c>
      <c r="AD2">
        <v>1</v>
      </c>
      <c r="AE2">
        <v>4835</v>
      </c>
      <c r="AF2">
        <v>8</v>
      </c>
      <c r="AG2">
        <v>0</v>
      </c>
      <c r="AH2">
        <v>0</v>
      </c>
      <c r="AI2">
        <v>2</v>
      </c>
    </row>
    <row r="3" spans="1:35">
      <c r="A3">
        <v>260507</v>
      </c>
      <c r="B3">
        <v>2</v>
      </c>
      <c r="C3" t="s">
        <v>72</v>
      </c>
      <c r="D3" t="s">
        <v>66</v>
      </c>
      <c r="E3">
        <v>59</v>
      </c>
      <c r="F3" t="s">
        <v>5</v>
      </c>
      <c r="G3">
        <f>VLOOKUP(F3,选手工资!A1:B28,2,FALSE)</f>
        <v>10</v>
      </c>
      <c r="H3" t="s">
        <v>118</v>
      </c>
      <c r="I3">
        <v>2</v>
      </c>
      <c r="J3">
        <v>30</v>
      </c>
      <c r="K3">
        <v>22</v>
      </c>
      <c r="L3">
        <v>4</v>
      </c>
      <c r="M3">
        <v>24</v>
      </c>
      <c r="N3" s="2">
        <v>0.78</v>
      </c>
      <c r="O3" s="2">
        <v>0.267</v>
      </c>
      <c r="P3">
        <v>37300</v>
      </c>
      <c r="Q3">
        <v>532</v>
      </c>
      <c r="R3">
        <v>3</v>
      </c>
      <c r="S3">
        <v>739</v>
      </c>
      <c r="T3">
        <v>1104</v>
      </c>
      <c r="U3">
        <v>8</v>
      </c>
      <c r="V3">
        <v>0</v>
      </c>
      <c r="W3">
        <v>0</v>
      </c>
      <c r="X3">
        <v>68374</v>
      </c>
      <c r="Y3">
        <v>13573</v>
      </c>
      <c r="Z3">
        <v>77743</v>
      </c>
      <c r="AA3" s="2">
        <v>0.418</v>
      </c>
      <c r="AB3">
        <v>1334</v>
      </c>
      <c r="AC3" s="3">
        <v>0.102083333333333</v>
      </c>
      <c r="AD3">
        <v>5</v>
      </c>
      <c r="AE3">
        <v>4328</v>
      </c>
      <c r="AF3">
        <v>8</v>
      </c>
      <c r="AG3">
        <v>50</v>
      </c>
      <c r="AH3">
        <v>3</v>
      </c>
      <c r="AI3">
        <v>4</v>
      </c>
    </row>
    <row r="4" spans="1:35">
      <c r="A4">
        <v>260507</v>
      </c>
      <c r="B4">
        <v>2</v>
      </c>
      <c r="C4" t="s">
        <v>72</v>
      </c>
      <c r="D4" t="s">
        <v>66</v>
      </c>
      <c r="E4">
        <v>59</v>
      </c>
      <c r="F4" t="s">
        <v>9</v>
      </c>
      <c r="G4">
        <f>VLOOKUP(F4,选手工资!A5:B32,2,FALSE)</f>
        <v>7.5</v>
      </c>
      <c r="H4" t="s">
        <v>119</v>
      </c>
      <c r="I4">
        <v>3</v>
      </c>
      <c r="J4">
        <v>26</v>
      </c>
      <c r="K4">
        <v>13</v>
      </c>
      <c r="L4">
        <v>12</v>
      </c>
      <c r="M4">
        <v>31</v>
      </c>
      <c r="N4" s="2">
        <v>0.746</v>
      </c>
      <c r="O4" s="2">
        <v>0.178</v>
      </c>
      <c r="P4">
        <v>26961</v>
      </c>
      <c r="Q4">
        <v>360</v>
      </c>
      <c r="R4">
        <v>17</v>
      </c>
      <c r="S4">
        <v>555</v>
      </c>
      <c r="T4">
        <v>667</v>
      </c>
      <c r="U4">
        <v>0</v>
      </c>
      <c r="V4">
        <v>0</v>
      </c>
      <c r="W4">
        <v>1</v>
      </c>
      <c r="X4">
        <v>45630</v>
      </c>
      <c r="Y4">
        <v>2065</v>
      </c>
      <c r="Z4">
        <v>176780</v>
      </c>
      <c r="AA4" s="2">
        <v>0.624</v>
      </c>
      <c r="AB4">
        <v>3260</v>
      </c>
      <c r="AC4" s="3">
        <v>0.323611111111111</v>
      </c>
      <c r="AD4">
        <v>6</v>
      </c>
      <c r="AE4">
        <v>4124</v>
      </c>
      <c r="AF4">
        <v>7</v>
      </c>
      <c r="AG4">
        <v>0</v>
      </c>
      <c r="AH4">
        <v>1</v>
      </c>
      <c r="AI4">
        <v>0</v>
      </c>
    </row>
    <row r="5" spans="1:35">
      <c r="A5">
        <v>260507</v>
      </c>
      <c r="B5">
        <v>2</v>
      </c>
      <c r="C5" t="s">
        <v>72</v>
      </c>
      <c r="D5" t="s">
        <v>66</v>
      </c>
      <c r="E5">
        <v>59</v>
      </c>
      <c r="F5" t="s">
        <v>20</v>
      </c>
      <c r="G5">
        <f>VLOOKUP(F5,选手工资!A3:B30,2,FALSE)</f>
        <v>4.5</v>
      </c>
      <c r="H5" t="s">
        <v>120</v>
      </c>
      <c r="I5">
        <v>4</v>
      </c>
      <c r="J5">
        <v>25</v>
      </c>
      <c r="K5">
        <v>5</v>
      </c>
      <c r="L5">
        <v>13</v>
      </c>
      <c r="M5">
        <v>36</v>
      </c>
      <c r="N5" s="2">
        <v>0.695</v>
      </c>
      <c r="O5" s="2">
        <v>0.076</v>
      </c>
      <c r="P5">
        <v>16245</v>
      </c>
      <c r="Q5">
        <v>123</v>
      </c>
      <c r="R5">
        <v>2</v>
      </c>
      <c r="S5">
        <v>349</v>
      </c>
      <c r="T5">
        <v>586</v>
      </c>
      <c r="U5">
        <v>2</v>
      </c>
      <c r="V5">
        <v>10</v>
      </c>
      <c r="W5">
        <v>2</v>
      </c>
      <c r="X5">
        <v>19423</v>
      </c>
      <c r="Y5">
        <v>740</v>
      </c>
      <c r="Z5">
        <v>75781</v>
      </c>
      <c r="AA5" s="2">
        <v>0.505</v>
      </c>
      <c r="AB5">
        <v>2422</v>
      </c>
      <c r="AC5" s="3">
        <v>0.389583333333333</v>
      </c>
      <c r="AD5">
        <v>9</v>
      </c>
      <c r="AE5">
        <v>2613</v>
      </c>
      <c r="AF5">
        <v>5</v>
      </c>
      <c r="AG5">
        <v>930</v>
      </c>
      <c r="AH5">
        <v>1</v>
      </c>
      <c r="AI5">
        <v>9</v>
      </c>
    </row>
    <row r="6" spans="1:35">
      <c r="A6">
        <v>260507</v>
      </c>
      <c r="B6">
        <v>2</v>
      </c>
      <c r="C6" t="s">
        <v>72</v>
      </c>
      <c r="D6" t="s">
        <v>66</v>
      </c>
      <c r="E6">
        <v>59</v>
      </c>
      <c r="F6" t="s">
        <v>26</v>
      </c>
      <c r="G6">
        <f>VLOOKUP(F6,选手工资!A4:B31,2,FALSE)</f>
        <v>3</v>
      </c>
      <c r="H6" t="s">
        <v>121</v>
      </c>
      <c r="I6">
        <v>5</v>
      </c>
      <c r="J6">
        <v>26</v>
      </c>
      <c r="K6">
        <v>4</v>
      </c>
      <c r="L6">
        <v>12</v>
      </c>
      <c r="M6">
        <v>40</v>
      </c>
      <c r="N6" s="2">
        <v>0.746</v>
      </c>
      <c r="O6" s="2">
        <v>0.054</v>
      </c>
      <c r="P6">
        <v>15084</v>
      </c>
      <c r="Q6">
        <v>27</v>
      </c>
      <c r="R6">
        <v>0</v>
      </c>
      <c r="S6">
        <v>339</v>
      </c>
      <c r="T6">
        <v>664</v>
      </c>
      <c r="U6">
        <v>0</v>
      </c>
      <c r="V6">
        <v>14401</v>
      </c>
      <c r="W6">
        <v>1</v>
      </c>
      <c r="X6">
        <v>13950</v>
      </c>
      <c r="Y6">
        <v>117</v>
      </c>
      <c r="Z6">
        <v>57619</v>
      </c>
      <c r="AA6" s="2">
        <v>0.34</v>
      </c>
      <c r="AB6">
        <v>1212</v>
      </c>
      <c r="AC6" s="3">
        <v>0.376388888888889</v>
      </c>
      <c r="AD6">
        <v>2</v>
      </c>
      <c r="AE6">
        <v>1848</v>
      </c>
      <c r="AF6">
        <v>5</v>
      </c>
      <c r="AG6">
        <v>2400</v>
      </c>
      <c r="AH6">
        <v>2</v>
      </c>
      <c r="AI6">
        <v>10</v>
      </c>
    </row>
    <row r="7" spans="1:35">
      <c r="A7">
        <v>260507</v>
      </c>
      <c r="B7">
        <v>2</v>
      </c>
      <c r="C7" t="s">
        <v>65</v>
      </c>
      <c r="D7" t="s">
        <v>73</v>
      </c>
      <c r="E7">
        <v>49</v>
      </c>
      <c r="F7" s="1" t="s">
        <v>6</v>
      </c>
      <c r="G7">
        <v>8</v>
      </c>
      <c r="H7" t="s">
        <v>107</v>
      </c>
      <c r="I7">
        <v>2</v>
      </c>
      <c r="J7">
        <v>28</v>
      </c>
      <c r="K7">
        <v>13</v>
      </c>
      <c r="L7">
        <v>10</v>
      </c>
      <c r="M7">
        <v>28</v>
      </c>
      <c r="N7" s="2">
        <v>0.837</v>
      </c>
      <c r="O7" s="2">
        <v>0.406</v>
      </c>
      <c r="P7">
        <v>34602</v>
      </c>
      <c r="Q7">
        <v>512</v>
      </c>
      <c r="R7">
        <v>12</v>
      </c>
      <c r="S7">
        <v>645</v>
      </c>
      <c r="T7">
        <v>932</v>
      </c>
      <c r="U7">
        <v>5</v>
      </c>
      <c r="V7">
        <v>45</v>
      </c>
      <c r="W7">
        <v>0</v>
      </c>
      <c r="X7">
        <v>100901</v>
      </c>
      <c r="Y7">
        <v>4166</v>
      </c>
      <c r="Z7">
        <v>159862</v>
      </c>
      <c r="AA7" s="2">
        <v>0.554</v>
      </c>
      <c r="AB7">
        <v>3257</v>
      </c>
      <c r="AC7" s="3">
        <v>0.288194444444444</v>
      </c>
      <c r="AD7">
        <v>7</v>
      </c>
      <c r="AE7">
        <v>4344</v>
      </c>
      <c r="AF7">
        <v>8</v>
      </c>
      <c r="AG7">
        <v>130</v>
      </c>
      <c r="AH7">
        <v>0</v>
      </c>
      <c r="AI7">
        <v>0</v>
      </c>
    </row>
    <row r="8" spans="1:35">
      <c r="A8">
        <v>260507</v>
      </c>
      <c r="B8">
        <v>2</v>
      </c>
      <c r="C8" t="s">
        <v>65</v>
      </c>
      <c r="D8" t="s">
        <v>73</v>
      </c>
      <c r="E8">
        <v>49</v>
      </c>
      <c r="F8" s="1" t="s">
        <v>7</v>
      </c>
      <c r="G8">
        <v>8</v>
      </c>
      <c r="H8" t="s">
        <v>122</v>
      </c>
      <c r="I8">
        <v>1</v>
      </c>
      <c r="J8">
        <v>29</v>
      </c>
      <c r="K8">
        <v>8</v>
      </c>
      <c r="L8">
        <v>7</v>
      </c>
      <c r="M8">
        <v>27</v>
      </c>
      <c r="N8" s="2">
        <v>0.714</v>
      </c>
      <c r="O8" s="2">
        <v>0.119</v>
      </c>
      <c r="P8">
        <v>32348</v>
      </c>
      <c r="Q8">
        <v>626</v>
      </c>
      <c r="R8">
        <v>6</v>
      </c>
      <c r="S8">
        <v>859</v>
      </c>
      <c r="T8">
        <v>1025</v>
      </c>
      <c r="U8">
        <v>9</v>
      </c>
      <c r="V8">
        <v>0</v>
      </c>
      <c r="W8">
        <v>0</v>
      </c>
      <c r="X8">
        <v>29653</v>
      </c>
      <c r="Y8">
        <v>9598</v>
      </c>
      <c r="Z8">
        <v>107338</v>
      </c>
      <c r="AA8" s="2">
        <v>0.546</v>
      </c>
      <c r="AB8">
        <v>2301</v>
      </c>
      <c r="AC8" s="3">
        <v>0.214583333333333</v>
      </c>
      <c r="AD8">
        <v>12</v>
      </c>
      <c r="AE8">
        <v>5094</v>
      </c>
      <c r="AF8">
        <v>7</v>
      </c>
      <c r="AG8">
        <v>50</v>
      </c>
      <c r="AH8">
        <v>6</v>
      </c>
      <c r="AI8">
        <v>1</v>
      </c>
    </row>
    <row r="9" spans="1:35">
      <c r="A9">
        <v>260507</v>
      </c>
      <c r="B9">
        <v>2</v>
      </c>
      <c r="C9" t="s">
        <v>65</v>
      </c>
      <c r="D9" t="s">
        <v>73</v>
      </c>
      <c r="E9">
        <v>49</v>
      </c>
      <c r="F9" s="1" t="s">
        <v>15</v>
      </c>
      <c r="G9">
        <f>VLOOKUP(F9,选手工资!A6:B33,2,FALSE)</f>
        <v>6</v>
      </c>
      <c r="H9" t="s">
        <v>69</v>
      </c>
      <c r="I9">
        <v>4</v>
      </c>
      <c r="J9">
        <v>28</v>
      </c>
      <c r="K9">
        <v>16</v>
      </c>
      <c r="L9">
        <v>12</v>
      </c>
      <c r="M9">
        <v>21</v>
      </c>
      <c r="N9" s="2">
        <v>0.755</v>
      </c>
      <c r="O9" s="2">
        <v>0.177</v>
      </c>
      <c r="P9">
        <v>31955</v>
      </c>
      <c r="Q9">
        <v>373</v>
      </c>
      <c r="R9">
        <v>6</v>
      </c>
      <c r="S9">
        <v>576</v>
      </c>
      <c r="T9">
        <v>858</v>
      </c>
      <c r="U9">
        <v>0</v>
      </c>
      <c r="V9">
        <v>11899</v>
      </c>
      <c r="W9">
        <v>0</v>
      </c>
      <c r="X9">
        <v>44071</v>
      </c>
      <c r="Y9">
        <v>3502</v>
      </c>
      <c r="Z9">
        <v>173618</v>
      </c>
      <c r="AA9" s="2">
        <v>0.613</v>
      </c>
      <c r="AB9">
        <v>3553</v>
      </c>
      <c r="AC9" s="3">
        <v>0.293055555555556</v>
      </c>
      <c r="AD9">
        <v>11</v>
      </c>
      <c r="AE9">
        <v>3799</v>
      </c>
      <c r="AF9">
        <v>7</v>
      </c>
      <c r="AG9">
        <v>0</v>
      </c>
      <c r="AH9">
        <v>0</v>
      </c>
      <c r="AI9">
        <v>0</v>
      </c>
    </row>
    <row r="10" spans="1:35">
      <c r="A10">
        <v>260507</v>
      </c>
      <c r="B10">
        <v>2</v>
      </c>
      <c r="C10" t="s">
        <v>65</v>
      </c>
      <c r="D10" t="s">
        <v>73</v>
      </c>
      <c r="E10">
        <v>49</v>
      </c>
      <c r="F10" s="1" t="s">
        <v>16</v>
      </c>
      <c r="G10">
        <f>VLOOKUP(F10,选手工资!A8:B35,2,FALSE)</f>
        <v>6</v>
      </c>
      <c r="H10" t="s">
        <v>116</v>
      </c>
      <c r="I10">
        <v>4</v>
      </c>
      <c r="J10">
        <v>25</v>
      </c>
      <c r="K10">
        <v>4</v>
      </c>
      <c r="L10">
        <v>13</v>
      </c>
      <c r="M10">
        <v>34</v>
      </c>
      <c r="N10" s="2">
        <v>0.776</v>
      </c>
      <c r="O10" s="2">
        <v>0.061</v>
      </c>
      <c r="P10">
        <v>16898</v>
      </c>
      <c r="Q10">
        <v>100</v>
      </c>
      <c r="R10">
        <v>4</v>
      </c>
      <c r="S10">
        <v>341</v>
      </c>
      <c r="T10">
        <v>603</v>
      </c>
      <c r="U10">
        <v>2</v>
      </c>
      <c r="V10">
        <v>1671</v>
      </c>
      <c r="W10">
        <v>5</v>
      </c>
      <c r="X10">
        <v>15206</v>
      </c>
      <c r="Y10">
        <v>720</v>
      </c>
      <c r="Z10">
        <v>88678</v>
      </c>
      <c r="AA10" s="2">
        <v>0.5</v>
      </c>
      <c r="AB10">
        <v>1710</v>
      </c>
      <c r="AC10" s="3">
        <v>0.292361111111111</v>
      </c>
      <c r="AD10">
        <v>4</v>
      </c>
      <c r="AE10">
        <v>2224</v>
      </c>
      <c r="AF10">
        <v>5</v>
      </c>
      <c r="AG10">
        <v>2130</v>
      </c>
      <c r="AH10">
        <v>0</v>
      </c>
      <c r="AI10">
        <v>14</v>
      </c>
    </row>
    <row r="11" spans="1:35">
      <c r="A11">
        <v>260507</v>
      </c>
      <c r="B11">
        <v>2</v>
      </c>
      <c r="C11" t="s">
        <v>65</v>
      </c>
      <c r="D11" t="s">
        <v>73</v>
      </c>
      <c r="E11">
        <v>49</v>
      </c>
      <c r="F11" s="1" t="s">
        <v>21</v>
      </c>
      <c r="G11">
        <f>VLOOKUP(F11,选手工资!A10:B37,2,FALSE)</f>
        <v>4.5</v>
      </c>
      <c r="H11" t="s">
        <v>123</v>
      </c>
      <c r="I11">
        <v>5</v>
      </c>
      <c r="J11">
        <v>23</v>
      </c>
      <c r="K11">
        <v>7</v>
      </c>
      <c r="L11">
        <v>17</v>
      </c>
      <c r="M11">
        <v>30</v>
      </c>
      <c r="N11" s="2">
        <v>0.755</v>
      </c>
      <c r="O11" s="2">
        <v>0.236</v>
      </c>
      <c r="P11">
        <v>16744</v>
      </c>
      <c r="Q11">
        <v>127</v>
      </c>
      <c r="R11">
        <v>2</v>
      </c>
      <c r="S11">
        <v>360</v>
      </c>
      <c r="T11">
        <v>500</v>
      </c>
      <c r="U11">
        <v>1</v>
      </c>
      <c r="V11">
        <v>5406</v>
      </c>
      <c r="W11">
        <v>0</v>
      </c>
      <c r="X11">
        <v>58651</v>
      </c>
      <c r="Y11">
        <v>1033</v>
      </c>
      <c r="Z11">
        <v>47431</v>
      </c>
      <c r="AA11" s="2">
        <v>0.475</v>
      </c>
      <c r="AB11">
        <v>2405</v>
      </c>
      <c r="AC11" s="3">
        <v>0.404861111111111</v>
      </c>
      <c r="AD11">
        <v>8</v>
      </c>
      <c r="AE11">
        <v>2193</v>
      </c>
      <c r="AF11">
        <v>5</v>
      </c>
      <c r="AG11">
        <v>1030</v>
      </c>
      <c r="AH11">
        <v>8</v>
      </c>
      <c r="AI11">
        <v>12</v>
      </c>
    </row>
    <row r="14" spans="1:35">
      <c r="A14" s="1" t="s">
        <v>79</v>
      </c>
      <c r="B14" s="4">
        <v>8801336033</v>
      </c>
      <c r="C14" s="4"/>
    </row>
    <row r="15" spans="1:35">
      <c r="A15" s="1" t="s">
        <v>80</v>
      </c>
      <c r="B15" s="5" t="s">
        <v>124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1" topLeftCell="I12" activePane="bottomRight" state="frozen"/>
      <selection/>
      <selection pane="topRight"/>
      <selection pane="bottomLeft"/>
      <selection pane="bottomRight" activeCell="J6" sqref="J6"/>
    </sheetView>
  </sheetViews>
  <sheetFormatPr defaultColWidth="9.25" defaultRowHeight="16.8"/>
  <cols>
    <col min="31" max="32" width="12.5384615384615" customWidth="1"/>
    <col min="33" max="33" width="15.1538461538462" customWidth="1"/>
    <col min="34" max="35" width="8.15384615384615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260507</v>
      </c>
      <c r="B2">
        <v>3</v>
      </c>
      <c r="C2" t="s">
        <v>72</v>
      </c>
      <c r="D2" t="s">
        <v>73</v>
      </c>
      <c r="E2">
        <v>12</v>
      </c>
      <c r="F2" s="1" t="s">
        <v>5</v>
      </c>
      <c r="G2">
        <f>VLOOKUP(F2,选手工资!A2:B29,2,FALSE)</f>
        <v>10</v>
      </c>
      <c r="H2" t="s">
        <v>125</v>
      </c>
      <c r="I2">
        <v>3</v>
      </c>
      <c r="J2">
        <v>15</v>
      </c>
      <c r="K2">
        <v>2</v>
      </c>
      <c r="L2">
        <v>7</v>
      </c>
      <c r="M2">
        <v>8</v>
      </c>
      <c r="N2" s="2">
        <v>0.833</v>
      </c>
      <c r="O2" s="2">
        <v>0.252</v>
      </c>
      <c r="P2">
        <v>14792</v>
      </c>
      <c r="Q2">
        <v>190</v>
      </c>
      <c r="R2">
        <v>5</v>
      </c>
      <c r="S2">
        <v>422</v>
      </c>
      <c r="T2">
        <v>422</v>
      </c>
      <c r="U2">
        <v>1</v>
      </c>
      <c r="V2">
        <v>2757</v>
      </c>
      <c r="W2">
        <v>0</v>
      </c>
      <c r="X2">
        <v>23499</v>
      </c>
      <c r="Y2">
        <v>0</v>
      </c>
      <c r="Z2">
        <v>53088</v>
      </c>
      <c r="AA2" s="2">
        <v>0.478</v>
      </c>
      <c r="AB2">
        <v>1903</v>
      </c>
      <c r="AC2" s="3">
        <v>0.224305555555556</v>
      </c>
      <c r="AD2">
        <v>9</v>
      </c>
      <c r="AE2">
        <v>4138</v>
      </c>
      <c r="AF2">
        <v>7</v>
      </c>
      <c r="AG2">
        <v>0</v>
      </c>
      <c r="AH2">
        <v>6</v>
      </c>
      <c r="AI2">
        <v>0</v>
      </c>
    </row>
    <row r="3" spans="1:35">
      <c r="A3">
        <v>260507</v>
      </c>
      <c r="B3">
        <v>3</v>
      </c>
      <c r="C3" t="s">
        <v>72</v>
      </c>
      <c r="D3" t="s">
        <v>73</v>
      </c>
      <c r="E3">
        <v>12</v>
      </c>
      <c r="F3" s="1" t="s">
        <v>6</v>
      </c>
      <c r="G3">
        <f>VLOOKUP(F3,选手工资!A1:B28,2,FALSE)</f>
        <v>8</v>
      </c>
      <c r="H3" t="s">
        <v>92</v>
      </c>
      <c r="I3">
        <v>2</v>
      </c>
      <c r="J3">
        <v>20</v>
      </c>
      <c r="K3">
        <v>6</v>
      </c>
      <c r="L3">
        <v>9</v>
      </c>
      <c r="M3">
        <v>3</v>
      </c>
      <c r="N3" s="2">
        <v>0.75</v>
      </c>
      <c r="O3" s="2">
        <v>0.425</v>
      </c>
      <c r="P3">
        <v>10768</v>
      </c>
      <c r="Q3">
        <v>155</v>
      </c>
      <c r="R3">
        <v>8</v>
      </c>
      <c r="S3">
        <v>412</v>
      </c>
      <c r="T3">
        <v>663</v>
      </c>
      <c r="U3">
        <v>1</v>
      </c>
      <c r="V3">
        <v>0</v>
      </c>
      <c r="W3">
        <v>0</v>
      </c>
      <c r="X3">
        <v>39569</v>
      </c>
      <c r="Y3">
        <v>0</v>
      </c>
      <c r="Z3">
        <v>67956</v>
      </c>
      <c r="AA3" s="2">
        <v>0.559</v>
      </c>
      <c r="AB3">
        <v>1335</v>
      </c>
      <c r="AC3" s="3">
        <v>0.253472222222222</v>
      </c>
      <c r="AD3">
        <v>5</v>
      </c>
      <c r="AE3">
        <v>3292</v>
      </c>
      <c r="AF3">
        <v>8</v>
      </c>
      <c r="AG3">
        <v>100</v>
      </c>
      <c r="AH3">
        <v>0</v>
      </c>
      <c r="AI3">
        <v>1</v>
      </c>
    </row>
    <row r="4" spans="1:35">
      <c r="A4">
        <v>260507</v>
      </c>
      <c r="B4">
        <v>3</v>
      </c>
      <c r="C4" t="s">
        <v>72</v>
      </c>
      <c r="D4" t="s">
        <v>73</v>
      </c>
      <c r="E4">
        <v>12</v>
      </c>
      <c r="F4" s="1" t="s">
        <v>15</v>
      </c>
      <c r="G4">
        <f>VLOOKUP(F4,选手工资!A3:B30,2,FALSE)</f>
        <v>6</v>
      </c>
      <c r="H4" t="s">
        <v>122</v>
      </c>
      <c r="I4">
        <v>1</v>
      </c>
      <c r="J4">
        <v>18</v>
      </c>
      <c r="K4">
        <v>2</v>
      </c>
      <c r="L4">
        <v>6</v>
      </c>
      <c r="M4">
        <v>3</v>
      </c>
      <c r="N4" s="2">
        <v>0.417</v>
      </c>
      <c r="O4" s="2">
        <v>0.144</v>
      </c>
      <c r="P4">
        <v>11066</v>
      </c>
      <c r="Q4">
        <v>185</v>
      </c>
      <c r="R4">
        <v>5</v>
      </c>
      <c r="S4">
        <v>475</v>
      </c>
      <c r="T4">
        <v>543</v>
      </c>
      <c r="U4">
        <v>0</v>
      </c>
      <c r="V4">
        <v>0</v>
      </c>
      <c r="W4">
        <v>0</v>
      </c>
      <c r="X4">
        <v>13397</v>
      </c>
      <c r="Y4">
        <v>0</v>
      </c>
      <c r="Z4">
        <v>28450</v>
      </c>
      <c r="AA4" s="2">
        <v>0.342</v>
      </c>
      <c r="AB4">
        <v>466</v>
      </c>
      <c r="AC4" s="3">
        <v>0.126388888888889</v>
      </c>
      <c r="AD4">
        <v>12</v>
      </c>
      <c r="AE4">
        <v>3203</v>
      </c>
      <c r="AF4">
        <v>5</v>
      </c>
      <c r="AG4">
        <v>50</v>
      </c>
      <c r="AH4">
        <v>5</v>
      </c>
      <c r="AI4">
        <v>0</v>
      </c>
    </row>
    <row r="5" spans="1:35">
      <c r="A5">
        <v>260507</v>
      </c>
      <c r="B5">
        <v>3</v>
      </c>
      <c r="C5" t="s">
        <v>72</v>
      </c>
      <c r="D5" t="s">
        <v>73</v>
      </c>
      <c r="E5">
        <v>12</v>
      </c>
      <c r="F5" s="1" t="s">
        <v>21</v>
      </c>
      <c r="G5">
        <f>VLOOKUP(F5,选手工资!A4:B31,2,FALSE)</f>
        <v>4.5</v>
      </c>
      <c r="H5" t="s">
        <v>116</v>
      </c>
      <c r="I5">
        <v>4</v>
      </c>
      <c r="J5">
        <v>11</v>
      </c>
      <c r="K5">
        <v>0</v>
      </c>
      <c r="L5">
        <v>10</v>
      </c>
      <c r="M5">
        <v>8</v>
      </c>
      <c r="N5" s="2">
        <v>0.667</v>
      </c>
      <c r="O5" s="2">
        <v>0.107</v>
      </c>
      <c r="P5">
        <v>5200</v>
      </c>
      <c r="Q5">
        <v>41</v>
      </c>
      <c r="R5">
        <v>1</v>
      </c>
      <c r="S5">
        <v>200</v>
      </c>
      <c r="T5">
        <v>215</v>
      </c>
      <c r="U5">
        <v>5</v>
      </c>
      <c r="V5">
        <v>0</v>
      </c>
      <c r="W5">
        <v>0</v>
      </c>
      <c r="X5">
        <v>9932</v>
      </c>
      <c r="Y5">
        <v>0</v>
      </c>
      <c r="Z5">
        <v>29636</v>
      </c>
      <c r="AA5" s="2">
        <v>0.395</v>
      </c>
      <c r="AB5">
        <v>811</v>
      </c>
      <c r="AC5" s="3">
        <v>0.202777777777778</v>
      </c>
      <c r="AD5">
        <v>1</v>
      </c>
      <c r="AE5">
        <v>1838</v>
      </c>
      <c r="AF5">
        <v>4</v>
      </c>
      <c r="AG5">
        <v>200</v>
      </c>
      <c r="AH5">
        <v>1</v>
      </c>
      <c r="AI5">
        <v>2</v>
      </c>
    </row>
    <row r="6" spans="1:35">
      <c r="A6">
        <v>260507</v>
      </c>
      <c r="B6">
        <v>3</v>
      </c>
      <c r="C6" t="s">
        <v>72</v>
      </c>
      <c r="D6" t="s">
        <v>73</v>
      </c>
      <c r="E6">
        <v>12</v>
      </c>
      <c r="F6" s="1" t="s">
        <v>31</v>
      </c>
      <c r="G6">
        <f>VLOOKUP(F6,选手工资!A5:B32,2,FALSE)</f>
        <v>2</v>
      </c>
      <c r="H6" t="s">
        <v>111</v>
      </c>
      <c r="I6">
        <v>5</v>
      </c>
      <c r="J6">
        <v>12</v>
      </c>
      <c r="K6">
        <v>0</v>
      </c>
      <c r="L6">
        <v>13</v>
      </c>
      <c r="M6">
        <v>7</v>
      </c>
      <c r="N6" s="2">
        <v>0.583</v>
      </c>
      <c r="O6" s="2">
        <v>0.072</v>
      </c>
      <c r="P6">
        <v>5275</v>
      </c>
      <c r="Q6">
        <v>24</v>
      </c>
      <c r="R6">
        <v>1</v>
      </c>
      <c r="S6">
        <v>221</v>
      </c>
      <c r="T6">
        <v>290</v>
      </c>
      <c r="U6">
        <v>0</v>
      </c>
      <c r="V6">
        <v>0</v>
      </c>
      <c r="W6">
        <v>0</v>
      </c>
      <c r="X6">
        <v>6743</v>
      </c>
      <c r="Y6">
        <v>0</v>
      </c>
      <c r="Z6">
        <v>33480</v>
      </c>
      <c r="AA6" s="2">
        <v>0.35</v>
      </c>
      <c r="AB6">
        <v>729</v>
      </c>
      <c r="AC6" s="3">
        <v>0.250694444444444</v>
      </c>
      <c r="AD6">
        <v>11</v>
      </c>
      <c r="AE6">
        <v>1422</v>
      </c>
      <c r="AF6">
        <v>4</v>
      </c>
      <c r="AG6">
        <v>550</v>
      </c>
      <c r="AH6">
        <v>3</v>
      </c>
      <c r="AI6">
        <v>7</v>
      </c>
    </row>
    <row r="7" spans="1:35">
      <c r="A7">
        <v>260507</v>
      </c>
      <c r="B7">
        <v>3</v>
      </c>
      <c r="C7" t="s">
        <v>65</v>
      </c>
      <c r="D7" t="s">
        <v>66</v>
      </c>
      <c r="E7">
        <v>45</v>
      </c>
      <c r="F7" s="1" t="s">
        <v>7</v>
      </c>
      <c r="G7">
        <v>8</v>
      </c>
      <c r="H7" t="s">
        <v>69</v>
      </c>
      <c r="I7">
        <v>3</v>
      </c>
      <c r="J7">
        <v>22</v>
      </c>
      <c r="K7">
        <v>13</v>
      </c>
      <c r="L7">
        <v>2</v>
      </c>
      <c r="M7">
        <v>24</v>
      </c>
      <c r="N7" s="2">
        <v>0.822</v>
      </c>
      <c r="O7" s="2">
        <v>0.375</v>
      </c>
      <c r="P7">
        <v>19908</v>
      </c>
      <c r="Q7">
        <v>250</v>
      </c>
      <c r="R7">
        <v>17</v>
      </c>
      <c r="S7">
        <v>677</v>
      </c>
      <c r="T7">
        <v>829</v>
      </c>
      <c r="U7">
        <v>2</v>
      </c>
      <c r="V7">
        <v>6184</v>
      </c>
      <c r="W7">
        <v>0</v>
      </c>
      <c r="X7">
        <v>43568</v>
      </c>
      <c r="Y7">
        <v>5336</v>
      </c>
      <c r="Z7">
        <v>44993</v>
      </c>
      <c r="AA7" s="2">
        <v>0.466</v>
      </c>
      <c r="AB7">
        <v>632</v>
      </c>
      <c r="AC7" s="3">
        <v>0.0326388888888889</v>
      </c>
      <c r="AD7">
        <v>8</v>
      </c>
      <c r="AE7">
        <v>5050</v>
      </c>
      <c r="AF7">
        <v>7</v>
      </c>
      <c r="AG7">
        <v>130</v>
      </c>
      <c r="AH7">
        <v>0</v>
      </c>
      <c r="AI7">
        <v>0</v>
      </c>
    </row>
    <row r="8" spans="1:35">
      <c r="A8">
        <v>260507</v>
      </c>
      <c r="B8">
        <v>3</v>
      </c>
      <c r="C8" t="s">
        <v>65</v>
      </c>
      <c r="D8" t="s">
        <v>66</v>
      </c>
      <c r="E8">
        <v>45</v>
      </c>
      <c r="F8" s="1" t="s">
        <v>11</v>
      </c>
      <c r="G8">
        <v>7.5</v>
      </c>
      <c r="H8" t="s">
        <v>67</v>
      </c>
      <c r="I8">
        <v>2</v>
      </c>
      <c r="J8">
        <v>21</v>
      </c>
      <c r="K8">
        <v>13</v>
      </c>
      <c r="L8">
        <v>3</v>
      </c>
      <c r="M8">
        <v>14</v>
      </c>
      <c r="N8" s="2">
        <v>0.6</v>
      </c>
      <c r="O8" s="2">
        <v>0.304</v>
      </c>
      <c r="P8">
        <v>18402</v>
      </c>
      <c r="Q8">
        <v>231</v>
      </c>
      <c r="R8">
        <v>11</v>
      </c>
      <c r="S8">
        <v>648</v>
      </c>
      <c r="T8">
        <v>741</v>
      </c>
      <c r="U8">
        <v>3</v>
      </c>
      <c r="V8">
        <v>0</v>
      </c>
      <c r="W8">
        <v>0</v>
      </c>
      <c r="X8">
        <v>35284</v>
      </c>
      <c r="Y8">
        <v>11036</v>
      </c>
      <c r="Z8">
        <v>31350</v>
      </c>
      <c r="AA8" s="2">
        <v>0.397</v>
      </c>
      <c r="AB8">
        <v>994</v>
      </c>
      <c r="AC8" s="3">
        <v>0.0756944444444444</v>
      </c>
      <c r="AD8">
        <v>4</v>
      </c>
      <c r="AE8">
        <v>4178</v>
      </c>
      <c r="AF8">
        <v>8</v>
      </c>
      <c r="AG8">
        <v>50</v>
      </c>
      <c r="AH8">
        <v>1</v>
      </c>
      <c r="AI8">
        <v>4</v>
      </c>
    </row>
    <row r="9" spans="1:35">
      <c r="A9">
        <v>260507</v>
      </c>
      <c r="B9">
        <v>3</v>
      </c>
      <c r="C9" t="s">
        <v>65</v>
      </c>
      <c r="D9" t="s">
        <v>66</v>
      </c>
      <c r="E9">
        <v>45</v>
      </c>
      <c r="F9" s="1" t="s">
        <v>19</v>
      </c>
      <c r="G9">
        <f>VLOOKUP(F9,选手工资!A9:B36,2,FALSE)</f>
        <v>5</v>
      </c>
      <c r="H9" t="s">
        <v>126</v>
      </c>
      <c r="I9">
        <v>1</v>
      </c>
      <c r="J9">
        <v>19</v>
      </c>
      <c r="K9">
        <v>3</v>
      </c>
      <c r="L9">
        <v>4</v>
      </c>
      <c r="M9">
        <v>8</v>
      </c>
      <c r="N9" s="2">
        <v>0.244</v>
      </c>
      <c r="O9" s="2">
        <v>0.102</v>
      </c>
      <c r="P9">
        <v>16855</v>
      </c>
      <c r="Q9">
        <v>217</v>
      </c>
      <c r="R9">
        <v>23</v>
      </c>
      <c r="S9">
        <v>526</v>
      </c>
      <c r="T9">
        <v>596</v>
      </c>
      <c r="U9">
        <v>0</v>
      </c>
      <c r="V9">
        <v>0</v>
      </c>
      <c r="W9">
        <v>0</v>
      </c>
      <c r="X9">
        <v>11863</v>
      </c>
      <c r="Y9">
        <v>7328</v>
      </c>
      <c r="Z9">
        <v>33263</v>
      </c>
      <c r="AA9" s="2">
        <v>0.444</v>
      </c>
      <c r="AB9">
        <v>708</v>
      </c>
      <c r="AC9" s="3">
        <v>0.101388888888889</v>
      </c>
      <c r="AD9">
        <v>10</v>
      </c>
      <c r="AE9">
        <v>3843</v>
      </c>
      <c r="AF9">
        <v>6</v>
      </c>
      <c r="AG9">
        <v>0</v>
      </c>
      <c r="AH9">
        <v>1</v>
      </c>
      <c r="AI9">
        <v>0</v>
      </c>
    </row>
    <row r="10" spans="1:35">
      <c r="A10">
        <v>260507</v>
      </c>
      <c r="B10">
        <v>3</v>
      </c>
      <c r="C10" t="s">
        <v>65</v>
      </c>
      <c r="D10" t="s">
        <v>66</v>
      </c>
      <c r="E10">
        <v>45</v>
      </c>
      <c r="F10" s="1" t="s">
        <v>16</v>
      </c>
      <c r="G10">
        <f>VLOOKUP(F10,选手工资!A6:B33,2,FALSE)</f>
        <v>6</v>
      </c>
      <c r="H10" t="s">
        <v>102</v>
      </c>
      <c r="I10">
        <v>4</v>
      </c>
      <c r="J10">
        <v>17</v>
      </c>
      <c r="K10">
        <v>15</v>
      </c>
      <c r="L10">
        <v>0</v>
      </c>
      <c r="M10">
        <v>16</v>
      </c>
      <c r="N10" s="2">
        <v>0.689</v>
      </c>
      <c r="O10" s="2">
        <v>0.144</v>
      </c>
      <c r="P10">
        <v>13060</v>
      </c>
      <c r="Q10">
        <v>29</v>
      </c>
      <c r="R10">
        <v>8</v>
      </c>
      <c r="S10">
        <v>425</v>
      </c>
      <c r="T10">
        <v>519</v>
      </c>
      <c r="U10">
        <v>2</v>
      </c>
      <c r="V10">
        <v>1638</v>
      </c>
      <c r="W10">
        <v>0</v>
      </c>
      <c r="X10">
        <v>16703</v>
      </c>
      <c r="Y10">
        <v>2543</v>
      </c>
      <c r="Z10">
        <v>21057</v>
      </c>
      <c r="AA10" s="2">
        <v>0.332</v>
      </c>
      <c r="AB10">
        <v>0</v>
      </c>
      <c r="AC10" s="3">
        <v>0</v>
      </c>
      <c r="AD10">
        <v>7</v>
      </c>
      <c r="AE10">
        <v>3313</v>
      </c>
      <c r="AF10">
        <v>7</v>
      </c>
      <c r="AG10">
        <v>650</v>
      </c>
      <c r="AH10">
        <v>2</v>
      </c>
      <c r="AI10">
        <v>4</v>
      </c>
    </row>
    <row r="11" spans="1:35">
      <c r="A11">
        <v>260507</v>
      </c>
      <c r="B11">
        <v>3</v>
      </c>
      <c r="C11" t="s">
        <v>65</v>
      </c>
      <c r="D11" t="s">
        <v>66</v>
      </c>
      <c r="E11">
        <v>45</v>
      </c>
      <c r="F11" s="1" t="s">
        <v>24</v>
      </c>
      <c r="G11">
        <f>VLOOKUP(F11,选手工资!A8:B35,2,FALSE)</f>
        <v>4</v>
      </c>
      <c r="H11" t="s">
        <v>127</v>
      </c>
      <c r="I11">
        <v>5</v>
      </c>
      <c r="J11">
        <v>17</v>
      </c>
      <c r="K11">
        <v>1</v>
      </c>
      <c r="L11">
        <v>3</v>
      </c>
      <c r="M11">
        <v>29</v>
      </c>
      <c r="N11" s="2">
        <v>0.667</v>
      </c>
      <c r="O11" s="2">
        <v>0.075</v>
      </c>
      <c r="P11">
        <v>10394</v>
      </c>
      <c r="Q11">
        <v>41</v>
      </c>
      <c r="R11">
        <v>1</v>
      </c>
      <c r="S11">
        <v>299</v>
      </c>
      <c r="T11">
        <v>489</v>
      </c>
      <c r="U11">
        <v>2</v>
      </c>
      <c r="V11">
        <v>8798</v>
      </c>
      <c r="W11">
        <v>1</v>
      </c>
      <c r="X11">
        <v>8674</v>
      </c>
      <c r="Y11">
        <v>613</v>
      </c>
      <c r="Z11">
        <v>26040</v>
      </c>
      <c r="AA11" s="2">
        <v>0.321</v>
      </c>
      <c r="AB11">
        <v>124</v>
      </c>
      <c r="AC11" s="3">
        <v>0.0215277777777778</v>
      </c>
      <c r="AD11">
        <v>3</v>
      </c>
      <c r="AE11">
        <v>1833</v>
      </c>
      <c r="AF11">
        <v>5</v>
      </c>
      <c r="AG11">
        <v>800</v>
      </c>
      <c r="AH11">
        <v>0</v>
      </c>
      <c r="AI11">
        <v>5</v>
      </c>
    </row>
    <row r="14" spans="1:35">
      <c r="A14" s="1" t="s">
        <v>79</v>
      </c>
      <c r="B14" s="4">
        <v>8801445758</v>
      </c>
      <c r="C14" s="4"/>
    </row>
    <row r="15" spans="1:35">
      <c r="A15" s="1" t="s">
        <v>80</v>
      </c>
      <c r="B15" s="5" t="s">
        <v>128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"/>
  <sheetViews>
    <sheetView topLeftCell="B1" workbookViewId="0">
      <pane xSplit="7" ySplit="1" topLeftCell="V2" activePane="bottomRight" state="frozen"/>
      <selection/>
      <selection pane="topRight"/>
      <selection pane="bottomLeft"/>
      <selection pane="bottomRight" activeCell="J6" sqref="J6"/>
    </sheetView>
  </sheetViews>
  <sheetFormatPr defaultColWidth="9.23076923076923" defaultRowHeight="16.8"/>
  <cols>
    <col min="7" max="7" width="12.875"/>
    <col min="31" max="32" width="12.5384615384615" customWidth="1"/>
    <col min="33" max="33" width="15.1538461538462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260508</v>
      </c>
      <c r="B2">
        <v>1</v>
      </c>
      <c r="C2" t="s">
        <v>72</v>
      </c>
      <c r="D2" t="s">
        <v>66</v>
      </c>
      <c r="E2">
        <v>44</v>
      </c>
      <c r="F2" t="s">
        <v>5</v>
      </c>
      <c r="G2">
        <v>9.5</v>
      </c>
      <c r="H2" t="s">
        <v>115</v>
      </c>
      <c r="I2">
        <v>2</v>
      </c>
      <c r="J2">
        <v>27</v>
      </c>
      <c r="K2">
        <v>23</v>
      </c>
      <c r="L2">
        <v>2</v>
      </c>
      <c r="M2">
        <v>12</v>
      </c>
      <c r="N2" s="2">
        <v>0.795</v>
      </c>
      <c r="O2" s="2">
        <v>0.39</v>
      </c>
      <c r="P2">
        <v>23509</v>
      </c>
      <c r="Q2">
        <v>261</v>
      </c>
      <c r="R2">
        <v>20</v>
      </c>
      <c r="S2">
        <v>708</v>
      </c>
      <c r="T2">
        <v>1250</v>
      </c>
      <c r="U2">
        <v>0</v>
      </c>
      <c r="V2">
        <v>0</v>
      </c>
      <c r="W2">
        <v>1</v>
      </c>
      <c r="X2">
        <v>50340</v>
      </c>
      <c r="Y2">
        <v>2195</v>
      </c>
      <c r="Z2">
        <v>57930</v>
      </c>
      <c r="AA2" s="2">
        <v>0.547</v>
      </c>
      <c r="AB2">
        <v>712</v>
      </c>
      <c r="AC2" s="3">
        <v>0.0277777777777778</v>
      </c>
      <c r="AD2">
        <v>5</v>
      </c>
      <c r="AE2">
        <v>4679</v>
      </c>
      <c r="AF2">
        <v>9</v>
      </c>
      <c r="AG2">
        <v>50</v>
      </c>
      <c r="AH2">
        <v>0</v>
      </c>
      <c r="AI2">
        <v>2</v>
      </c>
    </row>
    <row r="3" spans="1:35">
      <c r="A3">
        <v>260508</v>
      </c>
      <c r="B3">
        <v>1</v>
      </c>
      <c r="C3" t="s">
        <v>72</v>
      </c>
      <c r="D3" t="s">
        <v>66</v>
      </c>
      <c r="E3">
        <v>44</v>
      </c>
      <c r="F3" t="s">
        <v>15</v>
      </c>
      <c r="G3">
        <f>VLOOKUP(F3,选手工资!A5:C32,3,FALSE)</f>
        <v>5.5</v>
      </c>
      <c r="H3" t="s">
        <v>86</v>
      </c>
      <c r="I3">
        <v>3</v>
      </c>
      <c r="J3">
        <v>21</v>
      </c>
      <c r="K3">
        <v>4</v>
      </c>
      <c r="L3">
        <v>6</v>
      </c>
      <c r="M3">
        <v>26</v>
      </c>
      <c r="N3" s="2">
        <v>0.682</v>
      </c>
      <c r="O3" s="2">
        <v>0.202</v>
      </c>
      <c r="P3">
        <v>16553</v>
      </c>
      <c r="Q3">
        <v>235</v>
      </c>
      <c r="R3">
        <v>7</v>
      </c>
      <c r="S3">
        <v>499</v>
      </c>
      <c r="T3">
        <v>703</v>
      </c>
      <c r="U3">
        <v>2</v>
      </c>
      <c r="V3">
        <v>5265</v>
      </c>
      <c r="W3">
        <v>0</v>
      </c>
      <c r="X3">
        <v>26079</v>
      </c>
      <c r="Y3">
        <v>237</v>
      </c>
      <c r="Z3">
        <v>60311</v>
      </c>
      <c r="AA3" s="2">
        <v>0.501</v>
      </c>
      <c r="AB3">
        <v>1335</v>
      </c>
      <c r="AC3" s="3">
        <v>0.177777777777778</v>
      </c>
      <c r="AD3">
        <v>6</v>
      </c>
      <c r="AE3">
        <v>4874</v>
      </c>
      <c r="AF3">
        <v>7</v>
      </c>
      <c r="AG3">
        <v>0</v>
      </c>
      <c r="AH3">
        <v>2</v>
      </c>
      <c r="AI3">
        <v>0</v>
      </c>
    </row>
    <row r="4" spans="1:35">
      <c r="A4">
        <v>260508</v>
      </c>
      <c r="B4">
        <v>1</v>
      </c>
      <c r="C4" t="s">
        <v>72</v>
      </c>
      <c r="D4" t="s">
        <v>66</v>
      </c>
      <c r="E4">
        <v>44</v>
      </c>
      <c r="F4" t="s">
        <v>8</v>
      </c>
      <c r="G4">
        <f>VLOOKUP(F4,选手工资!A3:C30,3,FALSE)</f>
        <v>7.5</v>
      </c>
      <c r="H4" t="s">
        <v>129</v>
      </c>
      <c r="I4">
        <v>1</v>
      </c>
      <c r="J4">
        <v>24</v>
      </c>
      <c r="K4">
        <v>9</v>
      </c>
      <c r="L4">
        <v>5</v>
      </c>
      <c r="M4">
        <v>14</v>
      </c>
      <c r="N4" s="2">
        <v>0.523</v>
      </c>
      <c r="O4" s="2">
        <v>0.208</v>
      </c>
      <c r="P4">
        <v>23666</v>
      </c>
      <c r="Q4">
        <v>395</v>
      </c>
      <c r="R4">
        <v>10</v>
      </c>
      <c r="S4">
        <v>709</v>
      </c>
      <c r="T4">
        <v>946</v>
      </c>
      <c r="U4">
        <v>5</v>
      </c>
      <c r="V4">
        <v>0</v>
      </c>
      <c r="W4">
        <v>1</v>
      </c>
      <c r="X4">
        <v>26800</v>
      </c>
      <c r="Y4">
        <v>7272</v>
      </c>
      <c r="Z4">
        <v>31121</v>
      </c>
      <c r="AA4" s="2">
        <v>0.541</v>
      </c>
      <c r="AB4">
        <v>831</v>
      </c>
      <c r="AC4" s="3">
        <v>0.129861111111111</v>
      </c>
      <c r="AD4">
        <v>9</v>
      </c>
      <c r="AE4">
        <v>3685</v>
      </c>
      <c r="AF4">
        <v>7</v>
      </c>
      <c r="AG4">
        <v>50</v>
      </c>
      <c r="AH4">
        <v>2</v>
      </c>
      <c r="AI4">
        <v>0</v>
      </c>
    </row>
    <row r="5" spans="1:35">
      <c r="A5">
        <v>260508</v>
      </c>
      <c r="B5">
        <v>1</v>
      </c>
      <c r="C5" t="s">
        <v>72</v>
      </c>
      <c r="D5" t="s">
        <v>66</v>
      </c>
      <c r="E5">
        <v>44</v>
      </c>
      <c r="F5" t="s">
        <v>32</v>
      </c>
      <c r="G5">
        <f>VLOOKUP(F5,选手工资!A2:C29,3,FALSE)</f>
        <v>1</v>
      </c>
      <c r="H5" t="s">
        <v>130</v>
      </c>
      <c r="I5">
        <v>5</v>
      </c>
      <c r="J5">
        <v>19</v>
      </c>
      <c r="K5">
        <v>1</v>
      </c>
      <c r="L5">
        <v>7</v>
      </c>
      <c r="M5">
        <v>24</v>
      </c>
      <c r="N5" s="2">
        <v>0.568</v>
      </c>
      <c r="O5" s="2">
        <v>0.105</v>
      </c>
      <c r="P5">
        <v>8787</v>
      </c>
      <c r="Q5">
        <v>62</v>
      </c>
      <c r="R5">
        <v>1</v>
      </c>
      <c r="S5">
        <v>276</v>
      </c>
      <c r="T5">
        <v>586</v>
      </c>
      <c r="U5">
        <v>0</v>
      </c>
      <c r="V5">
        <v>0</v>
      </c>
      <c r="W5">
        <v>0</v>
      </c>
      <c r="X5">
        <v>13491</v>
      </c>
      <c r="Y5">
        <v>43</v>
      </c>
      <c r="Z5">
        <v>18428</v>
      </c>
      <c r="AA5" s="2">
        <v>0.475</v>
      </c>
      <c r="AB5">
        <v>495</v>
      </c>
      <c r="AC5" s="3">
        <v>0.152777777777778</v>
      </c>
      <c r="AD5">
        <v>1</v>
      </c>
      <c r="AE5">
        <v>1810</v>
      </c>
      <c r="AF5">
        <v>5</v>
      </c>
      <c r="AG5">
        <v>530</v>
      </c>
      <c r="AH5">
        <v>7</v>
      </c>
      <c r="AI5">
        <v>6</v>
      </c>
    </row>
    <row r="6" spans="1:35">
      <c r="A6">
        <v>260508</v>
      </c>
      <c r="B6">
        <v>1</v>
      </c>
      <c r="C6" t="s">
        <v>72</v>
      </c>
      <c r="D6" t="s">
        <v>66</v>
      </c>
      <c r="E6">
        <v>44</v>
      </c>
      <c r="F6" t="s">
        <v>18</v>
      </c>
      <c r="G6">
        <f>VLOOKUP(F6,选手工资!A6:C33,3,FALSE)</f>
        <v>6.5</v>
      </c>
      <c r="H6" t="s">
        <v>116</v>
      </c>
      <c r="I6">
        <v>4</v>
      </c>
      <c r="J6">
        <v>18</v>
      </c>
      <c r="K6">
        <v>6</v>
      </c>
      <c r="L6">
        <v>6</v>
      </c>
      <c r="M6">
        <v>29</v>
      </c>
      <c r="N6" s="2">
        <v>0.795</v>
      </c>
      <c r="O6" s="2">
        <v>0.096</v>
      </c>
      <c r="P6">
        <v>11154</v>
      </c>
      <c r="Q6">
        <v>86</v>
      </c>
      <c r="R6">
        <v>1</v>
      </c>
      <c r="S6">
        <v>364</v>
      </c>
      <c r="T6">
        <v>535</v>
      </c>
      <c r="U6">
        <v>3</v>
      </c>
      <c r="V6">
        <v>564</v>
      </c>
      <c r="W6">
        <v>0</v>
      </c>
      <c r="X6">
        <v>12339</v>
      </c>
      <c r="Y6">
        <v>24</v>
      </c>
      <c r="Z6">
        <v>27916</v>
      </c>
      <c r="AA6" s="2">
        <v>0.408</v>
      </c>
      <c r="AB6">
        <v>761</v>
      </c>
      <c r="AC6" s="3">
        <v>0.147916666666667</v>
      </c>
      <c r="AD6">
        <v>6</v>
      </c>
      <c r="AE6">
        <v>2238</v>
      </c>
      <c r="AF6">
        <v>4</v>
      </c>
      <c r="AG6">
        <v>880</v>
      </c>
      <c r="AH6">
        <v>1</v>
      </c>
      <c r="AI6">
        <v>8</v>
      </c>
    </row>
    <row r="7" spans="1:35">
      <c r="A7">
        <v>260508</v>
      </c>
      <c r="B7">
        <v>1</v>
      </c>
      <c r="C7" t="s">
        <v>65</v>
      </c>
      <c r="D7" t="s">
        <v>73</v>
      </c>
      <c r="E7">
        <v>26</v>
      </c>
      <c r="F7" t="s">
        <v>21</v>
      </c>
      <c r="G7">
        <f>VLOOKUP(F7,选手工资!A8:C35,3,FALSE)</f>
        <v>4</v>
      </c>
      <c r="H7" t="s">
        <v>69</v>
      </c>
      <c r="I7">
        <v>3</v>
      </c>
      <c r="J7">
        <v>19</v>
      </c>
      <c r="K7">
        <v>6</v>
      </c>
      <c r="L7">
        <v>6</v>
      </c>
      <c r="M7">
        <v>9</v>
      </c>
      <c r="N7" s="2">
        <v>0.577</v>
      </c>
      <c r="O7" s="2">
        <v>0.21</v>
      </c>
      <c r="P7">
        <v>15046</v>
      </c>
      <c r="Q7">
        <v>233</v>
      </c>
      <c r="R7">
        <v>9</v>
      </c>
      <c r="S7">
        <v>474</v>
      </c>
      <c r="T7">
        <v>598</v>
      </c>
      <c r="U7">
        <v>2</v>
      </c>
      <c r="V7">
        <v>3888</v>
      </c>
      <c r="W7">
        <v>0</v>
      </c>
      <c r="X7">
        <v>20383</v>
      </c>
      <c r="Y7">
        <v>633</v>
      </c>
      <c r="Z7">
        <v>59047</v>
      </c>
      <c r="AA7" s="2">
        <v>0.491</v>
      </c>
      <c r="AB7">
        <v>1618</v>
      </c>
      <c r="AC7" s="3">
        <v>0.192361111111111</v>
      </c>
      <c r="AD7">
        <v>8</v>
      </c>
      <c r="AE7">
        <v>4138</v>
      </c>
      <c r="AF7">
        <v>7</v>
      </c>
      <c r="AG7">
        <v>0</v>
      </c>
      <c r="AH7">
        <v>0</v>
      </c>
      <c r="AI7">
        <v>0</v>
      </c>
    </row>
    <row r="8" spans="1:35">
      <c r="A8">
        <v>260508</v>
      </c>
      <c r="B8">
        <v>1</v>
      </c>
      <c r="C8" t="s">
        <v>65</v>
      </c>
      <c r="D8" t="s">
        <v>73</v>
      </c>
      <c r="E8">
        <v>26</v>
      </c>
      <c r="F8" t="s">
        <v>11</v>
      </c>
      <c r="G8">
        <v>10.5</v>
      </c>
      <c r="H8" t="s">
        <v>84</v>
      </c>
      <c r="I8">
        <v>2</v>
      </c>
      <c r="J8">
        <v>21</v>
      </c>
      <c r="K8">
        <v>7</v>
      </c>
      <c r="L8">
        <v>7</v>
      </c>
      <c r="M8">
        <v>8</v>
      </c>
      <c r="N8" s="2">
        <v>0.577</v>
      </c>
      <c r="O8" s="2">
        <v>0.236</v>
      </c>
      <c r="P8">
        <v>14747</v>
      </c>
      <c r="Q8">
        <v>222</v>
      </c>
      <c r="R8">
        <v>8</v>
      </c>
      <c r="S8">
        <v>498</v>
      </c>
      <c r="T8">
        <v>681</v>
      </c>
      <c r="U8">
        <v>2</v>
      </c>
      <c r="V8">
        <v>0</v>
      </c>
      <c r="W8">
        <v>0</v>
      </c>
      <c r="X8">
        <v>22871</v>
      </c>
      <c r="Y8">
        <v>0</v>
      </c>
      <c r="Z8">
        <v>41541</v>
      </c>
      <c r="AA8" s="2">
        <v>0.451</v>
      </c>
      <c r="AB8">
        <v>1448</v>
      </c>
      <c r="AC8" s="3">
        <v>0.163888888888889</v>
      </c>
      <c r="AD8">
        <v>10</v>
      </c>
      <c r="AE8">
        <v>3487</v>
      </c>
      <c r="AF8">
        <v>7</v>
      </c>
      <c r="AG8">
        <v>50</v>
      </c>
      <c r="AH8">
        <v>2</v>
      </c>
      <c r="AI8">
        <v>0</v>
      </c>
    </row>
    <row r="9" spans="1:35">
      <c r="A9">
        <v>260508</v>
      </c>
      <c r="B9">
        <v>1</v>
      </c>
      <c r="C9" t="s">
        <v>65</v>
      </c>
      <c r="D9" t="s">
        <v>73</v>
      </c>
      <c r="E9">
        <v>26</v>
      </c>
      <c r="F9" t="s">
        <v>19</v>
      </c>
      <c r="G9">
        <f>VLOOKUP(F9,选手工资!A10:C37,3,FALSE)</f>
        <v>5</v>
      </c>
      <c r="H9" t="s">
        <v>71</v>
      </c>
      <c r="I9">
        <v>1</v>
      </c>
      <c r="J9">
        <v>21</v>
      </c>
      <c r="K9">
        <v>8</v>
      </c>
      <c r="L9">
        <v>8</v>
      </c>
      <c r="M9">
        <v>5</v>
      </c>
      <c r="N9" s="2">
        <v>0.5</v>
      </c>
      <c r="O9" s="2">
        <v>0.258</v>
      </c>
      <c r="P9">
        <v>17237</v>
      </c>
      <c r="Q9">
        <v>256</v>
      </c>
      <c r="R9">
        <v>4</v>
      </c>
      <c r="S9">
        <v>541</v>
      </c>
      <c r="T9">
        <v>732</v>
      </c>
      <c r="U9">
        <v>1</v>
      </c>
      <c r="V9">
        <v>0</v>
      </c>
      <c r="W9">
        <v>0</v>
      </c>
      <c r="X9">
        <v>24991</v>
      </c>
      <c r="Y9">
        <v>449</v>
      </c>
      <c r="Z9">
        <v>60584</v>
      </c>
      <c r="AA9" s="2">
        <v>0.399</v>
      </c>
      <c r="AB9">
        <v>1945</v>
      </c>
      <c r="AC9" s="3">
        <v>0.264583333333333</v>
      </c>
      <c r="AD9">
        <v>3</v>
      </c>
      <c r="AE9">
        <v>4013</v>
      </c>
      <c r="AF9">
        <v>6</v>
      </c>
      <c r="AG9">
        <v>0</v>
      </c>
      <c r="AH9">
        <v>0</v>
      </c>
      <c r="AI9">
        <v>0</v>
      </c>
    </row>
    <row r="10" spans="1:35">
      <c r="A10">
        <v>260508</v>
      </c>
      <c r="B10">
        <v>1</v>
      </c>
      <c r="C10" t="s">
        <v>65</v>
      </c>
      <c r="D10" t="s">
        <v>73</v>
      </c>
      <c r="E10">
        <v>26</v>
      </c>
      <c r="F10" t="s">
        <v>7</v>
      </c>
      <c r="G10">
        <v>8.5</v>
      </c>
      <c r="H10" t="s">
        <v>131</v>
      </c>
      <c r="I10">
        <v>4</v>
      </c>
      <c r="J10">
        <v>16</v>
      </c>
      <c r="K10">
        <v>4</v>
      </c>
      <c r="L10">
        <v>10</v>
      </c>
      <c r="M10">
        <v>16</v>
      </c>
      <c r="N10" s="2">
        <v>0.769</v>
      </c>
      <c r="O10" s="2">
        <v>0.203</v>
      </c>
      <c r="P10">
        <v>8479</v>
      </c>
      <c r="Q10">
        <v>69</v>
      </c>
      <c r="R10">
        <v>1</v>
      </c>
      <c r="S10">
        <v>317</v>
      </c>
      <c r="T10">
        <v>421</v>
      </c>
      <c r="U10">
        <v>1</v>
      </c>
      <c r="V10">
        <v>0</v>
      </c>
      <c r="W10">
        <v>1</v>
      </c>
      <c r="X10">
        <v>19647</v>
      </c>
      <c r="Y10">
        <v>0</v>
      </c>
      <c r="Z10">
        <v>31837</v>
      </c>
      <c r="AA10" s="2">
        <v>0.331</v>
      </c>
      <c r="AB10">
        <v>1280</v>
      </c>
      <c r="AC10" s="3">
        <v>0.252777777777778</v>
      </c>
      <c r="AD10">
        <v>4</v>
      </c>
      <c r="AE10">
        <v>2289</v>
      </c>
      <c r="AF10">
        <v>6</v>
      </c>
      <c r="AG10">
        <v>800</v>
      </c>
      <c r="AH10">
        <v>3</v>
      </c>
      <c r="AI10">
        <v>5</v>
      </c>
    </row>
    <row r="11" spans="1:35">
      <c r="A11">
        <v>260508</v>
      </c>
      <c r="B11">
        <v>1</v>
      </c>
      <c r="C11" t="s">
        <v>65</v>
      </c>
      <c r="D11" t="s">
        <v>73</v>
      </c>
      <c r="E11">
        <v>26</v>
      </c>
      <c r="F11" t="s">
        <v>31</v>
      </c>
      <c r="G11">
        <f>VLOOKUP(F11,选手工资!A7:C34,3,FALSE)</f>
        <v>2</v>
      </c>
      <c r="H11" t="s">
        <v>83</v>
      </c>
      <c r="I11">
        <v>5</v>
      </c>
      <c r="J11">
        <v>15</v>
      </c>
      <c r="K11">
        <v>1</v>
      </c>
      <c r="L11">
        <v>13</v>
      </c>
      <c r="M11">
        <v>16</v>
      </c>
      <c r="N11" s="2">
        <v>0.654</v>
      </c>
      <c r="O11" s="2">
        <v>0.092</v>
      </c>
      <c r="P11">
        <v>6586</v>
      </c>
      <c r="Q11">
        <v>18</v>
      </c>
      <c r="R11">
        <v>0</v>
      </c>
      <c r="S11">
        <v>250</v>
      </c>
      <c r="T11">
        <v>388</v>
      </c>
      <c r="U11">
        <v>1</v>
      </c>
      <c r="V11">
        <v>0</v>
      </c>
      <c r="W11">
        <v>0</v>
      </c>
      <c r="X11">
        <v>8955</v>
      </c>
      <c r="Y11">
        <v>0</v>
      </c>
      <c r="Z11">
        <v>25735</v>
      </c>
      <c r="AA11" s="2">
        <v>0.281</v>
      </c>
      <c r="AB11">
        <v>820</v>
      </c>
      <c r="AC11" s="3">
        <v>0.265972222222222</v>
      </c>
      <c r="AD11">
        <v>7</v>
      </c>
      <c r="AE11">
        <v>1485</v>
      </c>
      <c r="AF11">
        <v>5</v>
      </c>
      <c r="AG11">
        <v>550</v>
      </c>
      <c r="AH11">
        <v>2</v>
      </c>
      <c r="AI11">
        <v>4</v>
      </c>
    </row>
    <row r="13" spans="1:35">
      <c r="A13" s="1" t="s">
        <v>79</v>
      </c>
      <c r="B13" s="4">
        <v>8802574130</v>
      </c>
      <c r="C13" s="4"/>
    </row>
    <row r="14" spans="1:35">
      <c r="A14" s="1" t="s">
        <v>80</v>
      </c>
      <c r="B14" s="5" t="s">
        <v>132</v>
      </c>
    </row>
  </sheetData>
  <sortState ref="A2:AI11">
    <sortCondition ref="C2"/>
  </sortState>
  <mergeCells count="1">
    <mergeCell ref="B13:C1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"/>
  <sheetViews>
    <sheetView topLeftCell="C1" workbookViewId="0">
      <pane xSplit="6" ySplit="1" topLeftCell="AD2" activePane="bottomRight" state="frozen"/>
      <selection/>
      <selection pane="topRight"/>
      <selection pane="bottomLeft"/>
      <selection pane="bottomRight" activeCell="J6" sqref="J6"/>
    </sheetView>
  </sheetViews>
  <sheetFormatPr defaultColWidth="9.23076923076923" defaultRowHeight="16.8"/>
  <cols>
    <col min="6" max="6" width="6" customWidth="1"/>
    <col min="7" max="7" width="10.3076923076923" customWidth="1"/>
    <col min="31" max="32" width="12.5384615384615" customWidth="1"/>
    <col min="33" max="33" width="15.1538461538462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260508</v>
      </c>
      <c r="B2">
        <v>2</v>
      </c>
      <c r="C2" t="s">
        <v>72</v>
      </c>
      <c r="D2" t="s">
        <v>66</v>
      </c>
      <c r="E2">
        <v>37</v>
      </c>
      <c r="F2" t="s">
        <v>5</v>
      </c>
      <c r="G2">
        <f>VLOOKUP(F2,选手工资!$A:$C,3,FALSE)</f>
        <v>9.5</v>
      </c>
      <c r="H2" t="s">
        <v>133</v>
      </c>
      <c r="I2">
        <v>2</v>
      </c>
      <c r="J2">
        <v>30</v>
      </c>
      <c r="K2">
        <v>11</v>
      </c>
      <c r="L2">
        <v>4</v>
      </c>
      <c r="M2">
        <v>14</v>
      </c>
      <c r="N2" s="2">
        <v>0.676</v>
      </c>
      <c r="O2" s="2">
        <v>0.331</v>
      </c>
      <c r="P2">
        <v>40443</v>
      </c>
      <c r="Q2">
        <v>754</v>
      </c>
      <c r="R2">
        <v>2</v>
      </c>
      <c r="S2">
        <v>798</v>
      </c>
      <c r="T2">
        <v>1096</v>
      </c>
      <c r="U2">
        <v>3</v>
      </c>
      <c r="V2">
        <v>0</v>
      </c>
      <c r="W2">
        <v>2</v>
      </c>
      <c r="X2">
        <v>61393</v>
      </c>
      <c r="Y2">
        <v>2419</v>
      </c>
      <c r="Z2">
        <v>78986</v>
      </c>
      <c r="AA2" s="2">
        <v>0.615</v>
      </c>
      <c r="AB2">
        <v>1898</v>
      </c>
      <c r="AC2" s="3">
        <v>0.110416666666667</v>
      </c>
      <c r="AD2">
        <v>9</v>
      </c>
      <c r="AE2">
        <v>4392</v>
      </c>
      <c r="AF2">
        <v>8</v>
      </c>
      <c r="AG2">
        <v>100</v>
      </c>
      <c r="AH2">
        <v>0</v>
      </c>
      <c r="AI2">
        <v>4</v>
      </c>
    </row>
    <row r="3" spans="1:35">
      <c r="A3">
        <v>260508</v>
      </c>
      <c r="B3">
        <v>2</v>
      </c>
      <c r="C3" t="s">
        <v>72</v>
      </c>
      <c r="D3" t="s">
        <v>66</v>
      </c>
      <c r="E3">
        <v>37</v>
      </c>
      <c r="F3" t="s">
        <v>15</v>
      </c>
      <c r="G3">
        <f>VLOOKUP(F3,选手工资!$A:$C,3,FALSE)</f>
        <v>5.5</v>
      </c>
      <c r="H3" t="s">
        <v>101</v>
      </c>
      <c r="I3">
        <v>1</v>
      </c>
      <c r="J3">
        <v>29</v>
      </c>
      <c r="K3">
        <v>11</v>
      </c>
      <c r="L3">
        <v>7</v>
      </c>
      <c r="M3">
        <v>11</v>
      </c>
      <c r="N3" s="2">
        <v>0.595</v>
      </c>
      <c r="O3" s="2">
        <v>0.296</v>
      </c>
      <c r="P3">
        <v>41183</v>
      </c>
      <c r="Q3">
        <v>681</v>
      </c>
      <c r="R3">
        <v>40</v>
      </c>
      <c r="S3">
        <v>734</v>
      </c>
      <c r="T3">
        <v>1061</v>
      </c>
      <c r="U3">
        <v>2</v>
      </c>
      <c r="V3">
        <v>0</v>
      </c>
      <c r="W3">
        <v>0</v>
      </c>
      <c r="X3">
        <v>54927</v>
      </c>
      <c r="Y3">
        <v>21087</v>
      </c>
      <c r="Z3">
        <v>92383</v>
      </c>
      <c r="AA3" s="2">
        <v>0.526</v>
      </c>
      <c r="AB3">
        <v>3001</v>
      </c>
      <c r="AC3" s="3">
        <v>0.322916666666667</v>
      </c>
      <c r="AD3">
        <v>6</v>
      </c>
      <c r="AE3">
        <v>4340</v>
      </c>
      <c r="AF3">
        <v>7</v>
      </c>
      <c r="AG3">
        <v>0</v>
      </c>
      <c r="AH3">
        <v>1</v>
      </c>
      <c r="AI3">
        <v>1</v>
      </c>
    </row>
    <row r="4" spans="1:35">
      <c r="A4">
        <v>260508</v>
      </c>
      <c r="B4">
        <v>2</v>
      </c>
      <c r="C4" t="s">
        <v>65</v>
      </c>
      <c r="D4" t="s">
        <v>73</v>
      </c>
      <c r="E4">
        <v>39</v>
      </c>
      <c r="F4" t="s">
        <v>8</v>
      </c>
      <c r="G4">
        <f>VLOOKUP(F4,选手工资!$A:$C,3,FALSE)</f>
        <v>7.5</v>
      </c>
      <c r="H4" t="s">
        <v>134</v>
      </c>
      <c r="I4">
        <v>2</v>
      </c>
      <c r="J4">
        <v>28</v>
      </c>
      <c r="K4">
        <v>9</v>
      </c>
      <c r="L4">
        <v>5</v>
      </c>
      <c r="M4">
        <v>23</v>
      </c>
      <c r="N4" s="2">
        <v>0.821</v>
      </c>
      <c r="O4" s="2">
        <v>0.41</v>
      </c>
      <c r="P4">
        <v>34118</v>
      </c>
      <c r="Q4">
        <v>665</v>
      </c>
      <c r="R4">
        <v>7</v>
      </c>
      <c r="S4">
        <v>690</v>
      </c>
      <c r="T4">
        <v>929</v>
      </c>
      <c r="U4">
        <v>3</v>
      </c>
      <c r="V4">
        <v>0</v>
      </c>
      <c r="W4">
        <v>0</v>
      </c>
      <c r="X4">
        <v>67958</v>
      </c>
      <c r="Y4">
        <v>49</v>
      </c>
      <c r="Z4">
        <v>47727</v>
      </c>
      <c r="AA4" s="2">
        <v>0.364</v>
      </c>
      <c r="AB4">
        <v>1900</v>
      </c>
      <c r="AC4" s="3">
        <v>0.0722222222222222</v>
      </c>
      <c r="AD4">
        <v>10</v>
      </c>
      <c r="AE4">
        <v>4301</v>
      </c>
      <c r="AF4">
        <v>8</v>
      </c>
      <c r="AG4">
        <v>50</v>
      </c>
      <c r="AH4">
        <v>3</v>
      </c>
      <c r="AI4">
        <v>4</v>
      </c>
    </row>
    <row r="5" spans="1:35">
      <c r="A5">
        <v>260508</v>
      </c>
      <c r="B5">
        <v>2</v>
      </c>
      <c r="C5" t="s">
        <v>65</v>
      </c>
      <c r="D5" t="s">
        <v>73</v>
      </c>
      <c r="E5">
        <v>39</v>
      </c>
      <c r="F5" t="s">
        <v>18</v>
      </c>
      <c r="G5">
        <f>VLOOKUP(F5,选手工资!$A:$C,3,FALSE)</f>
        <v>6.5</v>
      </c>
      <c r="H5" t="s">
        <v>94</v>
      </c>
      <c r="I5">
        <v>1</v>
      </c>
      <c r="J5">
        <v>29</v>
      </c>
      <c r="K5">
        <v>14</v>
      </c>
      <c r="L5">
        <v>5</v>
      </c>
      <c r="M5">
        <v>10</v>
      </c>
      <c r="N5" s="2">
        <v>0.615</v>
      </c>
      <c r="O5" s="2">
        <v>0.278</v>
      </c>
      <c r="P5">
        <v>32995</v>
      </c>
      <c r="Q5">
        <v>585</v>
      </c>
      <c r="R5">
        <v>13</v>
      </c>
      <c r="S5">
        <v>700</v>
      </c>
      <c r="T5">
        <v>977</v>
      </c>
      <c r="U5">
        <v>5</v>
      </c>
      <c r="V5">
        <v>0</v>
      </c>
      <c r="W5">
        <v>0</v>
      </c>
      <c r="X5">
        <v>46135</v>
      </c>
      <c r="Y5">
        <v>4681</v>
      </c>
      <c r="Z5">
        <v>151944</v>
      </c>
      <c r="AA5" s="2">
        <v>0.6</v>
      </c>
      <c r="AB5">
        <v>3468</v>
      </c>
      <c r="AC5" s="3">
        <v>0.222916666666667</v>
      </c>
      <c r="AD5">
        <v>8</v>
      </c>
      <c r="AE5">
        <v>4196</v>
      </c>
      <c r="AF5">
        <v>7</v>
      </c>
      <c r="AG5">
        <v>0</v>
      </c>
      <c r="AH5">
        <v>0</v>
      </c>
      <c r="AI5">
        <v>0</v>
      </c>
    </row>
    <row r="6" spans="1:35">
      <c r="A6">
        <v>260508</v>
      </c>
      <c r="B6">
        <v>2</v>
      </c>
      <c r="C6" t="s">
        <v>65</v>
      </c>
      <c r="D6" t="s">
        <v>73</v>
      </c>
      <c r="E6">
        <v>39</v>
      </c>
      <c r="F6" t="s">
        <v>12</v>
      </c>
      <c r="G6">
        <f>VLOOKUP(F6,选手工资!$A:$C,3,FALSE)</f>
        <v>7</v>
      </c>
      <c r="H6" t="s">
        <v>135</v>
      </c>
      <c r="I6">
        <v>3</v>
      </c>
      <c r="J6">
        <v>27</v>
      </c>
      <c r="K6">
        <v>11</v>
      </c>
      <c r="L6">
        <v>6</v>
      </c>
      <c r="M6">
        <v>12</v>
      </c>
      <c r="N6" s="2">
        <v>0.59</v>
      </c>
      <c r="O6" s="2">
        <v>0.164</v>
      </c>
      <c r="P6">
        <v>21745</v>
      </c>
      <c r="Q6">
        <v>345</v>
      </c>
      <c r="R6">
        <v>10</v>
      </c>
      <c r="S6">
        <v>462</v>
      </c>
      <c r="T6">
        <v>744</v>
      </c>
      <c r="U6">
        <v>3</v>
      </c>
      <c r="V6">
        <v>0</v>
      </c>
      <c r="W6">
        <v>0</v>
      </c>
      <c r="X6">
        <v>27185</v>
      </c>
      <c r="Y6">
        <v>665</v>
      </c>
      <c r="Z6">
        <v>85550</v>
      </c>
      <c r="AA6" s="2">
        <v>0.564</v>
      </c>
      <c r="AB6">
        <v>1885</v>
      </c>
      <c r="AC6" s="3">
        <v>0.204861111111111</v>
      </c>
      <c r="AD6">
        <v>7</v>
      </c>
      <c r="AE6">
        <v>3937</v>
      </c>
      <c r="AF6">
        <v>7</v>
      </c>
      <c r="AG6">
        <v>500</v>
      </c>
      <c r="AH6">
        <v>0</v>
      </c>
      <c r="AI6">
        <v>1</v>
      </c>
    </row>
    <row r="7" spans="1:35">
      <c r="A7">
        <v>260508</v>
      </c>
      <c r="B7">
        <v>2</v>
      </c>
      <c r="C7" t="s">
        <v>72</v>
      </c>
      <c r="D7" t="s">
        <v>66</v>
      </c>
      <c r="E7">
        <v>37</v>
      </c>
      <c r="F7" t="s">
        <v>32</v>
      </c>
      <c r="G7">
        <f>VLOOKUP(F7,选手工资!$A:$C,3,FALSE)</f>
        <v>1</v>
      </c>
      <c r="H7" t="s">
        <v>114</v>
      </c>
      <c r="I7">
        <v>3</v>
      </c>
      <c r="J7">
        <v>25</v>
      </c>
      <c r="K7">
        <v>4</v>
      </c>
      <c r="L7">
        <v>9</v>
      </c>
      <c r="M7">
        <v>14</v>
      </c>
      <c r="N7" s="2">
        <v>0.486</v>
      </c>
      <c r="O7" s="2">
        <v>0.125</v>
      </c>
      <c r="P7">
        <v>20017</v>
      </c>
      <c r="Q7">
        <v>311</v>
      </c>
      <c r="R7">
        <v>1</v>
      </c>
      <c r="S7">
        <v>412</v>
      </c>
      <c r="T7">
        <v>633</v>
      </c>
      <c r="U7">
        <v>2</v>
      </c>
      <c r="V7">
        <v>0</v>
      </c>
      <c r="W7">
        <v>1</v>
      </c>
      <c r="X7">
        <v>23196</v>
      </c>
      <c r="Y7">
        <v>643</v>
      </c>
      <c r="Z7">
        <v>69379</v>
      </c>
      <c r="AA7" s="2">
        <v>0.431</v>
      </c>
      <c r="AB7">
        <v>2464</v>
      </c>
      <c r="AC7" s="3">
        <v>0.286805555555556</v>
      </c>
      <c r="AD7">
        <v>2</v>
      </c>
      <c r="AE7">
        <v>2872</v>
      </c>
      <c r="AF7">
        <v>6</v>
      </c>
      <c r="AG7">
        <v>0</v>
      </c>
      <c r="AH7">
        <v>2</v>
      </c>
      <c r="AI7">
        <v>0</v>
      </c>
    </row>
    <row r="8" spans="1:35">
      <c r="A8">
        <v>260508</v>
      </c>
      <c r="B8">
        <v>2</v>
      </c>
      <c r="C8" t="s">
        <v>72</v>
      </c>
      <c r="D8" t="s">
        <v>66</v>
      </c>
      <c r="E8">
        <v>37</v>
      </c>
      <c r="F8" t="s">
        <v>20</v>
      </c>
      <c r="G8">
        <f>VLOOKUP(F8,选手工资!$A:$C,3,FALSE)</f>
        <v>5</v>
      </c>
      <c r="H8" t="s">
        <v>68</v>
      </c>
      <c r="I8">
        <v>5</v>
      </c>
      <c r="J8">
        <v>24</v>
      </c>
      <c r="K8">
        <v>5</v>
      </c>
      <c r="L8">
        <v>9</v>
      </c>
      <c r="M8">
        <v>18</v>
      </c>
      <c r="N8" s="2">
        <v>0.622</v>
      </c>
      <c r="O8" s="2">
        <v>0.091</v>
      </c>
      <c r="P8">
        <v>17706</v>
      </c>
      <c r="Q8">
        <v>127</v>
      </c>
      <c r="R8">
        <v>0</v>
      </c>
      <c r="S8">
        <v>326</v>
      </c>
      <c r="T8">
        <v>552</v>
      </c>
      <c r="U8">
        <v>4</v>
      </c>
      <c r="V8">
        <v>0</v>
      </c>
      <c r="W8">
        <v>0</v>
      </c>
      <c r="X8">
        <v>16960</v>
      </c>
      <c r="Y8">
        <v>393</v>
      </c>
      <c r="Z8">
        <v>36850</v>
      </c>
      <c r="AA8" s="2">
        <v>0.499</v>
      </c>
      <c r="AB8">
        <v>1406</v>
      </c>
      <c r="AC8" s="3">
        <v>0.261111111111111</v>
      </c>
      <c r="AD8">
        <v>1</v>
      </c>
      <c r="AE8">
        <v>2812</v>
      </c>
      <c r="AF8">
        <v>6</v>
      </c>
      <c r="AG8">
        <v>1100</v>
      </c>
      <c r="AH8">
        <v>1</v>
      </c>
      <c r="AI8">
        <v>6</v>
      </c>
    </row>
    <row r="9" spans="1:35">
      <c r="A9">
        <v>260508</v>
      </c>
      <c r="B9">
        <v>2</v>
      </c>
      <c r="C9" t="s">
        <v>65</v>
      </c>
      <c r="D9" t="s">
        <v>73</v>
      </c>
      <c r="E9">
        <v>39</v>
      </c>
      <c r="F9" t="s">
        <v>16</v>
      </c>
      <c r="G9">
        <f>VLOOKUP(F9,选手工资!$A:$C,3,FALSE)</f>
        <v>6</v>
      </c>
      <c r="H9" t="s">
        <v>91</v>
      </c>
      <c r="I9">
        <v>5</v>
      </c>
      <c r="J9">
        <v>22</v>
      </c>
      <c r="K9">
        <v>3</v>
      </c>
      <c r="L9">
        <v>12</v>
      </c>
      <c r="M9">
        <v>13</v>
      </c>
      <c r="N9" s="2">
        <v>0.41</v>
      </c>
      <c r="O9" s="2">
        <v>0.073</v>
      </c>
      <c r="P9">
        <v>12964</v>
      </c>
      <c r="Q9">
        <v>196</v>
      </c>
      <c r="R9">
        <v>1</v>
      </c>
      <c r="S9">
        <v>314</v>
      </c>
      <c r="T9">
        <v>480</v>
      </c>
      <c r="U9">
        <v>2</v>
      </c>
      <c r="V9">
        <v>0</v>
      </c>
      <c r="W9">
        <v>1</v>
      </c>
      <c r="X9">
        <v>12166</v>
      </c>
      <c r="Y9">
        <v>373</v>
      </c>
      <c r="Z9">
        <v>41144</v>
      </c>
      <c r="AA9" s="2">
        <v>0.425</v>
      </c>
      <c r="AB9">
        <v>1540</v>
      </c>
      <c r="AC9" s="3">
        <v>0.383333333333333</v>
      </c>
      <c r="AD9">
        <v>3</v>
      </c>
      <c r="AE9">
        <v>2490</v>
      </c>
      <c r="AF9">
        <v>6</v>
      </c>
      <c r="AG9">
        <v>3050</v>
      </c>
      <c r="AH9">
        <v>1</v>
      </c>
      <c r="AI9">
        <v>8</v>
      </c>
    </row>
    <row r="10" spans="1:35">
      <c r="A10">
        <v>260508</v>
      </c>
      <c r="B10">
        <v>2</v>
      </c>
      <c r="C10" t="s">
        <v>72</v>
      </c>
      <c r="D10" t="s">
        <v>66</v>
      </c>
      <c r="E10">
        <v>37</v>
      </c>
      <c r="F10" t="s">
        <v>7</v>
      </c>
      <c r="G10">
        <f>VLOOKUP(F10,选手工资!$A:$C,3,FALSE)</f>
        <v>8.5</v>
      </c>
      <c r="H10" t="s">
        <v>131</v>
      </c>
      <c r="I10">
        <v>4</v>
      </c>
      <c r="J10">
        <v>26</v>
      </c>
      <c r="K10">
        <v>5</v>
      </c>
      <c r="L10">
        <v>10</v>
      </c>
      <c r="M10">
        <v>24</v>
      </c>
      <c r="N10" s="2">
        <v>0.784</v>
      </c>
      <c r="O10" s="2">
        <v>0.156</v>
      </c>
      <c r="P10">
        <v>20599</v>
      </c>
      <c r="Q10">
        <v>189</v>
      </c>
      <c r="R10">
        <v>4</v>
      </c>
      <c r="S10">
        <v>414</v>
      </c>
      <c r="T10">
        <v>736</v>
      </c>
      <c r="U10">
        <v>6</v>
      </c>
      <c r="V10">
        <v>469</v>
      </c>
      <c r="W10">
        <v>0</v>
      </c>
      <c r="X10">
        <v>28908</v>
      </c>
      <c r="Y10">
        <v>192</v>
      </c>
      <c r="Z10">
        <v>61157</v>
      </c>
      <c r="AA10" s="2">
        <v>0.451</v>
      </c>
      <c r="AB10">
        <v>1330</v>
      </c>
      <c r="AC10" s="3">
        <v>0.215972222222222</v>
      </c>
      <c r="AD10">
        <v>5</v>
      </c>
      <c r="AE10">
        <v>2452</v>
      </c>
      <c r="AF10">
        <v>5</v>
      </c>
      <c r="AG10">
        <v>650</v>
      </c>
      <c r="AH10">
        <v>4</v>
      </c>
      <c r="AI10">
        <v>2</v>
      </c>
    </row>
    <row r="11" spans="1:35">
      <c r="A11">
        <v>260508</v>
      </c>
      <c r="B11">
        <v>2</v>
      </c>
      <c r="C11" t="s">
        <v>65</v>
      </c>
      <c r="D11" t="s">
        <v>73</v>
      </c>
      <c r="E11">
        <v>39</v>
      </c>
      <c r="F11" t="s">
        <v>136</v>
      </c>
      <c r="G11" t="e">
        <f>VLOOKUP(F11,选手工资!$A:$C,3,FALSE)</f>
        <v>#N/A</v>
      </c>
      <c r="H11" t="s">
        <v>137</v>
      </c>
      <c r="I11">
        <v>4</v>
      </c>
      <c r="J11">
        <v>26</v>
      </c>
      <c r="K11">
        <v>2</v>
      </c>
      <c r="L11">
        <v>9</v>
      </c>
      <c r="M11">
        <v>21</v>
      </c>
      <c r="N11" s="2">
        <v>0.59</v>
      </c>
      <c r="O11" s="2">
        <v>0.074</v>
      </c>
      <c r="P11">
        <v>14250</v>
      </c>
      <c r="Q11">
        <v>118</v>
      </c>
      <c r="R11">
        <v>2</v>
      </c>
      <c r="S11">
        <v>332</v>
      </c>
      <c r="T11">
        <v>659</v>
      </c>
      <c r="U11">
        <v>0</v>
      </c>
      <c r="V11">
        <v>3332</v>
      </c>
      <c r="W11">
        <v>0</v>
      </c>
      <c r="X11">
        <v>12316</v>
      </c>
      <c r="Y11">
        <v>3498</v>
      </c>
      <c r="Z11">
        <v>57399</v>
      </c>
      <c r="AA11" s="2">
        <v>0.432</v>
      </c>
      <c r="AB11">
        <v>1413</v>
      </c>
      <c r="AC11" s="3">
        <v>0.230555555555556</v>
      </c>
      <c r="AD11">
        <v>4</v>
      </c>
      <c r="AE11">
        <v>1873</v>
      </c>
      <c r="AF11">
        <v>5</v>
      </c>
      <c r="AG11">
        <v>830</v>
      </c>
      <c r="AH11">
        <v>3</v>
      </c>
      <c r="AI11">
        <v>3</v>
      </c>
    </row>
    <row r="13" spans="1:35">
      <c r="A13" s="1" t="s">
        <v>79</v>
      </c>
      <c r="B13" s="4">
        <v>8802642559</v>
      </c>
      <c r="C13" s="4"/>
    </row>
    <row r="14" spans="1:35">
      <c r="A14" s="1" t="s">
        <v>80</v>
      </c>
      <c r="B14" s="5" t="s">
        <v>138</v>
      </c>
    </row>
  </sheetData>
  <sortState ref="A2:AI11">
    <sortCondition ref="AE2" descending="1"/>
  </sortState>
  <mergeCells count="1">
    <mergeCell ref="B13:C1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"/>
  <sheetViews>
    <sheetView workbookViewId="0">
      <pane xSplit="8" ySplit="1" topLeftCell="AF2" activePane="bottomRight" state="frozen"/>
      <selection/>
      <selection pane="topRight"/>
      <selection pane="bottomLeft"/>
      <selection pane="bottomRight" activeCell="J6" sqref="J6"/>
    </sheetView>
  </sheetViews>
  <sheetFormatPr defaultColWidth="9.23076923076923" defaultRowHeight="16.8"/>
  <cols>
    <col min="6" max="6" width="8.15384615384615" customWidth="1"/>
    <col min="7" max="7" width="10.3076923076923" customWidth="1"/>
    <col min="31" max="32" width="12.5384615384615" customWidth="1"/>
    <col min="33" max="33" width="15.1538461538462" customWidth="1"/>
  </cols>
  <sheetData>
    <row r="1" ht="16" customHeight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ht="16" customHeight="1" spans="1:35">
      <c r="A2">
        <v>260508</v>
      </c>
      <c r="B2">
        <v>3</v>
      </c>
      <c r="C2" t="s">
        <v>72</v>
      </c>
      <c r="D2" t="s">
        <v>73</v>
      </c>
      <c r="E2">
        <v>47</v>
      </c>
      <c r="F2" t="s">
        <v>6</v>
      </c>
      <c r="G2">
        <f>VLOOKUP(F2,选手工资!$A:$C,3,FALSE)</f>
        <v>7.5</v>
      </c>
      <c r="H2" t="s">
        <v>139</v>
      </c>
      <c r="I2">
        <v>2</v>
      </c>
      <c r="J2">
        <v>28</v>
      </c>
      <c r="K2">
        <v>8</v>
      </c>
      <c r="L2">
        <v>10</v>
      </c>
      <c r="M2">
        <v>18</v>
      </c>
      <c r="N2" s="2">
        <v>0.553</v>
      </c>
      <c r="O2" s="2">
        <v>0.216</v>
      </c>
      <c r="P2">
        <v>29961</v>
      </c>
      <c r="Q2">
        <v>510</v>
      </c>
      <c r="R2">
        <v>4</v>
      </c>
      <c r="S2">
        <v>613</v>
      </c>
      <c r="T2">
        <v>966</v>
      </c>
      <c r="U2">
        <v>5</v>
      </c>
      <c r="V2">
        <v>0</v>
      </c>
      <c r="W2">
        <v>0</v>
      </c>
      <c r="X2">
        <v>40079</v>
      </c>
      <c r="Y2">
        <v>633</v>
      </c>
      <c r="Z2">
        <v>107193</v>
      </c>
      <c r="AA2" s="2">
        <v>0.516</v>
      </c>
      <c r="AB2">
        <v>2372</v>
      </c>
      <c r="AC2" s="3">
        <v>0.322916666666667</v>
      </c>
      <c r="AD2">
        <v>6</v>
      </c>
      <c r="AE2">
        <v>3121</v>
      </c>
      <c r="AF2">
        <v>8</v>
      </c>
      <c r="AG2">
        <v>130</v>
      </c>
      <c r="AH2">
        <v>0</v>
      </c>
      <c r="AI2">
        <v>1</v>
      </c>
    </row>
    <row r="3" ht="16" customHeight="1" spans="1:35">
      <c r="A3">
        <v>260508</v>
      </c>
      <c r="B3">
        <v>3</v>
      </c>
      <c r="C3" t="s">
        <v>72</v>
      </c>
      <c r="D3" t="s">
        <v>73</v>
      </c>
      <c r="E3">
        <v>47</v>
      </c>
      <c r="F3" t="s">
        <v>7</v>
      </c>
      <c r="G3">
        <f>VLOOKUP(F3,选手工资!$A:$C,3,FALSE)</f>
        <v>8.5</v>
      </c>
      <c r="H3" t="s">
        <v>71</v>
      </c>
      <c r="I3">
        <v>1</v>
      </c>
      <c r="J3">
        <v>29</v>
      </c>
      <c r="K3">
        <v>12</v>
      </c>
      <c r="L3">
        <v>9</v>
      </c>
      <c r="M3">
        <v>21</v>
      </c>
      <c r="N3" s="2">
        <v>0.702</v>
      </c>
      <c r="O3" s="2">
        <v>0.317</v>
      </c>
      <c r="P3">
        <v>35120</v>
      </c>
      <c r="Q3">
        <v>616</v>
      </c>
      <c r="R3">
        <v>17</v>
      </c>
      <c r="S3">
        <v>718</v>
      </c>
      <c r="T3">
        <v>1070</v>
      </c>
      <c r="U3">
        <v>0</v>
      </c>
      <c r="V3">
        <v>0</v>
      </c>
      <c r="W3">
        <v>0</v>
      </c>
      <c r="X3">
        <v>58970</v>
      </c>
      <c r="Y3">
        <v>3317</v>
      </c>
      <c r="Z3">
        <v>106107</v>
      </c>
      <c r="AA3" s="2">
        <v>0.438</v>
      </c>
      <c r="AB3">
        <v>2371</v>
      </c>
      <c r="AC3" s="3">
        <v>0.307638888888889</v>
      </c>
      <c r="AD3">
        <v>2</v>
      </c>
      <c r="AE3">
        <v>4384</v>
      </c>
      <c r="AF3">
        <v>7</v>
      </c>
      <c r="AG3">
        <v>80</v>
      </c>
      <c r="AH3">
        <v>1</v>
      </c>
      <c r="AI3">
        <v>4</v>
      </c>
    </row>
    <row r="4" ht="16" customHeight="1" spans="1:35">
      <c r="A4">
        <v>260508</v>
      </c>
      <c r="B4">
        <v>3</v>
      </c>
      <c r="C4" t="s">
        <v>72</v>
      </c>
      <c r="D4" t="s">
        <v>73</v>
      </c>
      <c r="E4">
        <v>47</v>
      </c>
      <c r="F4" t="s">
        <v>12</v>
      </c>
      <c r="G4">
        <f>VLOOKUP(F4,选手工资!$A:$C,3,FALSE)</f>
        <v>7</v>
      </c>
      <c r="H4" t="s">
        <v>140</v>
      </c>
      <c r="I4">
        <v>3</v>
      </c>
      <c r="J4">
        <v>27</v>
      </c>
      <c r="K4">
        <v>14</v>
      </c>
      <c r="L4">
        <v>11</v>
      </c>
      <c r="M4">
        <v>18</v>
      </c>
      <c r="N4" s="2">
        <v>0.681</v>
      </c>
      <c r="O4" s="2">
        <v>0.16</v>
      </c>
      <c r="P4">
        <v>25905</v>
      </c>
      <c r="Q4">
        <v>364</v>
      </c>
      <c r="R4">
        <v>5</v>
      </c>
      <c r="S4">
        <v>555</v>
      </c>
      <c r="T4">
        <v>812</v>
      </c>
      <c r="U4">
        <v>7</v>
      </c>
      <c r="V4">
        <v>0</v>
      </c>
      <c r="W4">
        <v>1</v>
      </c>
      <c r="X4">
        <v>29692</v>
      </c>
      <c r="Y4">
        <v>333</v>
      </c>
      <c r="Z4">
        <v>99393</v>
      </c>
      <c r="AA4" s="2">
        <v>0.544</v>
      </c>
      <c r="AB4">
        <v>2862</v>
      </c>
      <c r="AC4" s="3">
        <v>0.405555555555556</v>
      </c>
      <c r="AD4">
        <v>9</v>
      </c>
      <c r="AE4">
        <v>4542</v>
      </c>
      <c r="AF4">
        <v>6</v>
      </c>
      <c r="AG4">
        <v>260</v>
      </c>
      <c r="AH4">
        <v>0</v>
      </c>
      <c r="AI4">
        <v>0</v>
      </c>
    </row>
    <row r="5" ht="16" customHeight="1" spans="1:35">
      <c r="A5">
        <v>260508</v>
      </c>
      <c r="B5">
        <v>3</v>
      </c>
      <c r="C5" t="s">
        <v>72</v>
      </c>
      <c r="D5" t="s">
        <v>73</v>
      </c>
      <c r="E5">
        <v>47</v>
      </c>
      <c r="F5" t="s">
        <v>24</v>
      </c>
      <c r="G5">
        <f>VLOOKUP(F5,选手工资!$A:$C,3,FALSE)</f>
        <v>4</v>
      </c>
      <c r="H5" t="s">
        <v>83</v>
      </c>
      <c r="I5">
        <v>5</v>
      </c>
      <c r="J5">
        <v>25</v>
      </c>
      <c r="K5">
        <v>7</v>
      </c>
      <c r="L5">
        <v>10</v>
      </c>
      <c r="M5">
        <v>29</v>
      </c>
      <c r="N5" s="2">
        <v>0.766</v>
      </c>
      <c r="O5" s="2">
        <v>0.109</v>
      </c>
      <c r="P5">
        <v>14899</v>
      </c>
      <c r="Q5">
        <v>112</v>
      </c>
      <c r="R5">
        <v>1</v>
      </c>
      <c r="S5">
        <v>357</v>
      </c>
      <c r="T5">
        <v>609</v>
      </c>
      <c r="U5">
        <v>5</v>
      </c>
      <c r="V5">
        <v>1047</v>
      </c>
      <c r="W5">
        <v>1</v>
      </c>
      <c r="X5">
        <v>20208</v>
      </c>
      <c r="Y5">
        <v>143</v>
      </c>
      <c r="Z5">
        <v>52550</v>
      </c>
      <c r="AA5" s="2">
        <v>0.431</v>
      </c>
      <c r="AB5">
        <v>1740</v>
      </c>
      <c r="AC5" s="3">
        <v>0.257638888888889</v>
      </c>
      <c r="AD5">
        <v>1</v>
      </c>
      <c r="AE5">
        <v>1742</v>
      </c>
      <c r="AF5">
        <v>5</v>
      </c>
      <c r="AG5">
        <v>2100</v>
      </c>
      <c r="AH5">
        <v>4</v>
      </c>
      <c r="AI5">
        <v>4</v>
      </c>
    </row>
    <row r="6" ht="16" customHeight="1" spans="1:35">
      <c r="A6">
        <v>260508</v>
      </c>
      <c r="B6">
        <v>3</v>
      </c>
      <c r="C6" t="s">
        <v>72</v>
      </c>
      <c r="D6" t="s">
        <v>73</v>
      </c>
      <c r="E6">
        <v>47</v>
      </c>
      <c r="F6" t="s">
        <v>21</v>
      </c>
      <c r="G6">
        <f>VLOOKUP(F6,选手工资!$A:$C,3,FALSE)</f>
        <v>4</v>
      </c>
      <c r="H6" t="s">
        <v>123</v>
      </c>
      <c r="I6">
        <v>4</v>
      </c>
      <c r="J6">
        <v>25</v>
      </c>
      <c r="K6">
        <v>6</v>
      </c>
      <c r="L6">
        <v>16</v>
      </c>
      <c r="M6">
        <v>24</v>
      </c>
      <c r="N6" s="2">
        <v>0.638</v>
      </c>
      <c r="O6" s="2">
        <v>0.199</v>
      </c>
      <c r="P6">
        <v>18569</v>
      </c>
      <c r="Q6">
        <v>173</v>
      </c>
      <c r="R6">
        <v>1</v>
      </c>
      <c r="S6">
        <v>388</v>
      </c>
      <c r="T6">
        <v>648</v>
      </c>
      <c r="U6">
        <v>0</v>
      </c>
      <c r="V6">
        <v>6220</v>
      </c>
      <c r="W6">
        <v>0</v>
      </c>
      <c r="X6">
        <v>36927</v>
      </c>
      <c r="Y6">
        <v>994</v>
      </c>
      <c r="Z6">
        <v>69448</v>
      </c>
      <c r="AA6" s="2">
        <v>0.505</v>
      </c>
      <c r="AB6">
        <v>2782</v>
      </c>
      <c r="AC6" s="3">
        <v>0.463194444444444</v>
      </c>
      <c r="AD6">
        <v>5</v>
      </c>
      <c r="AE6">
        <v>1485</v>
      </c>
      <c r="AF6">
        <v>4</v>
      </c>
      <c r="AG6">
        <v>660</v>
      </c>
      <c r="AH6">
        <v>4</v>
      </c>
      <c r="AI6">
        <v>4</v>
      </c>
    </row>
    <row r="7" ht="16" customHeight="1" spans="1:35">
      <c r="A7">
        <v>260508</v>
      </c>
      <c r="B7">
        <v>3</v>
      </c>
      <c r="C7" t="s">
        <v>65</v>
      </c>
      <c r="D7" t="s">
        <v>66</v>
      </c>
      <c r="E7">
        <v>56</v>
      </c>
      <c r="F7" t="s">
        <v>15</v>
      </c>
      <c r="G7">
        <f>VLOOKUP(F7,选手工资!$A:$C,3,FALSE)</f>
        <v>5.5</v>
      </c>
      <c r="H7" t="s">
        <v>141</v>
      </c>
      <c r="I7">
        <v>2</v>
      </c>
      <c r="J7">
        <v>28</v>
      </c>
      <c r="K7">
        <v>21</v>
      </c>
      <c r="L7">
        <v>7</v>
      </c>
      <c r="M7">
        <v>17</v>
      </c>
      <c r="N7" s="2">
        <v>0.679</v>
      </c>
      <c r="O7" s="2">
        <v>0.285</v>
      </c>
      <c r="P7">
        <v>29579</v>
      </c>
      <c r="Q7">
        <v>229</v>
      </c>
      <c r="R7">
        <v>13</v>
      </c>
      <c r="S7">
        <v>546</v>
      </c>
      <c r="T7">
        <v>898</v>
      </c>
      <c r="U7">
        <v>2</v>
      </c>
      <c r="V7">
        <v>216</v>
      </c>
      <c r="W7">
        <v>2</v>
      </c>
      <c r="X7">
        <v>63123</v>
      </c>
      <c r="Y7">
        <v>10725</v>
      </c>
      <c r="Z7">
        <v>69705</v>
      </c>
      <c r="AA7" s="2">
        <v>0.543</v>
      </c>
      <c r="AB7">
        <v>2735</v>
      </c>
      <c r="AC7" s="3">
        <v>0.347222222222222</v>
      </c>
      <c r="AD7">
        <v>10</v>
      </c>
      <c r="AE7">
        <v>3884</v>
      </c>
      <c r="AF7">
        <v>8</v>
      </c>
      <c r="AG7">
        <v>200</v>
      </c>
      <c r="AH7">
        <v>0</v>
      </c>
      <c r="AI7">
        <v>8</v>
      </c>
    </row>
    <row r="8" ht="16" customHeight="1" spans="1:35">
      <c r="A8">
        <v>260508</v>
      </c>
      <c r="B8">
        <v>3</v>
      </c>
      <c r="C8" t="s">
        <v>65</v>
      </c>
      <c r="D8" t="s">
        <v>66</v>
      </c>
      <c r="E8">
        <v>56</v>
      </c>
      <c r="F8" t="s">
        <v>18</v>
      </c>
      <c r="G8">
        <f>VLOOKUP(F8,选手工资!$A:$C,3,FALSE)</f>
        <v>6.5</v>
      </c>
      <c r="H8" t="s">
        <v>122</v>
      </c>
      <c r="I8">
        <v>1</v>
      </c>
      <c r="J8">
        <v>30</v>
      </c>
      <c r="K8">
        <v>13</v>
      </c>
      <c r="L8">
        <v>6</v>
      </c>
      <c r="M8">
        <v>28</v>
      </c>
      <c r="N8" s="2">
        <v>0.732</v>
      </c>
      <c r="O8" s="2">
        <v>0.301</v>
      </c>
      <c r="P8">
        <v>29092</v>
      </c>
      <c r="Q8">
        <v>550</v>
      </c>
      <c r="R8">
        <v>8</v>
      </c>
      <c r="S8">
        <v>863</v>
      </c>
      <c r="T8">
        <v>1249</v>
      </c>
      <c r="U8">
        <v>5</v>
      </c>
      <c r="V8">
        <v>0</v>
      </c>
      <c r="W8">
        <v>0</v>
      </c>
      <c r="X8">
        <v>66461</v>
      </c>
      <c r="Y8">
        <v>13930</v>
      </c>
      <c r="Z8">
        <v>86831</v>
      </c>
      <c r="AA8" s="2">
        <v>0.472</v>
      </c>
      <c r="AB8">
        <v>1315</v>
      </c>
      <c r="AC8" s="3">
        <v>0.169444444444444</v>
      </c>
      <c r="AD8">
        <v>3</v>
      </c>
      <c r="AE8">
        <v>4653</v>
      </c>
      <c r="AF8">
        <v>6</v>
      </c>
      <c r="AG8">
        <v>900</v>
      </c>
      <c r="AH8">
        <v>7</v>
      </c>
      <c r="AI8">
        <v>1</v>
      </c>
    </row>
    <row r="9" ht="16" customHeight="1" spans="1:35">
      <c r="A9">
        <v>260508</v>
      </c>
      <c r="B9">
        <v>3</v>
      </c>
      <c r="C9" t="s">
        <v>65</v>
      </c>
      <c r="D9" t="s">
        <v>66</v>
      </c>
      <c r="E9">
        <v>56</v>
      </c>
      <c r="F9" t="s">
        <v>19</v>
      </c>
      <c r="G9">
        <f>VLOOKUP(F9,选手工资!$A:$C,3,FALSE)</f>
        <v>5</v>
      </c>
      <c r="H9" t="s">
        <v>135</v>
      </c>
      <c r="I9">
        <v>3</v>
      </c>
      <c r="J9">
        <v>26</v>
      </c>
      <c r="K9">
        <v>9</v>
      </c>
      <c r="L9">
        <v>13</v>
      </c>
      <c r="M9">
        <v>22</v>
      </c>
      <c r="N9" s="2">
        <v>0.554</v>
      </c>
      <c r="O9" s="2">
        <v>0.157</v>
      </c>
      <c r="P9">
        <v>30344</v>
      </c>
      <c r="Q9">
        <v>315</v>
      </c>
      <c r="R9">
        <v>11</v>
      </c>
      <c r="S9">
        <v>514</v>
      </c>
      <c r="T9">
        <v>741</v>
      </c>
      <c r="U9">
        <v>4</v>
      </c>
      <c r="V9">
        <v>0</v>
      </c>
      <c r="W9">
        <v>0</v>
      </c>
      <c r="X9">
        <v>34714</v>
      </c>
      <c r="Y9">
        <v>3061</v>
      </c>
      <c r="Z9">
        <v>103314</v>
      </c>
      <c r="AA9" s="2">
        <v>0.5</v>
      </c>
      <c r="AB9">
        <v>3917</v>
      </c>
      <c r="AC9" s="3">
        <v>0.527083333333333</v>
      </c>
      <c r="AD9">
        <v>8</v>
      </c>
      <c r="AE9">
        <v>3396</v>
      </c>
      <c r="AF9">
        <v>6</v>
      </c>
      <c r="AG9">
        <v>160</v>
      </c>
      <c r="AH9">
        <v>1</v>
      </c>
      <c r="AI9">
        <v>0</v>
      </c>
    </row>
    <row r="10" ht="16" customHeight="1" spans="1:35">
      <c r="A10">
        <v>260508</v>
      </c>
      <c r="B10">
        <v>3</v>
      </c>
      <c r="C10" t="s">
        <v>65</v>
      </c>
      <c r="D10" t="s">
        <v>66</v>
      </c>
      <c r="E10">
        <v>56</v>
      </c>
      <c r="F10" t="s">
        <v>8</v>
      </c>
      <c r="G10">
        <f>VLOOKUP(F10,选手工资!$A:$C,3,FALSE)</f>
        <v>7.5</v>
      </c>
      <c r="H10" t="s">
        <v>78</v>
      </c>
      <c r="I10">
        <v>4</v>
      </c>
      <c r="J10">
        <v>23</v>
      </c>
      <c r="K10">
        <v>7</v>
      </c>
      <c r="L10">
        <v>12</v>
      </c>
      <c r="M10">
        <v>29</v>
      </c>
      <c r="N10" s="2">
        <v>0.643</v>
      </c>
      <c r="O10" s="2">
        <v>0.143</v>
      </c>
      <c r="P10">
        <v>22418</v>
      </c>
      <c r="Q10">
        <v>109</v>
      </c>
      <c r="R10">
        <v>0</v>
      </c>
      <c r="S10">
        <v>399</v>
      </c>
      <c r="T10">
        <v>505</v>
      </c>
      <c r="U10">
        <v>2</v>
      </c>
      <c r="V10">
        <v>0</v>
      </c>
      <c r="W10">
        <v>0</v>
      </c>
      <c r="X10">
        <v>31589</v>
      </c>
      <c r="Y10">
        <v>1873</v>
      </c>
      <c r="Z10">
        <v>72232</v>
      </c>
      <c r="AA10" s="2">
        <v>0.491</v>
      </c>
      <c r="AB10">
        <v>3242</v>
      </c>
      <c r="AC10" s="3">
        <v>0.484027777777778</v>
      </c>
      <c r="AD10">
        <v>7</v>
      </c>
      <c r="AE10">
        <v>2356</v>
      </c>
      <c r="AF10">
        <v>5</v>
      </c>
      <c r="AG10">
        <v>1140</v>
      </c>
      <c r="AH10">
        <v>0</v>
      </c>
      <c r="AI10">
        <v>6</v>
      </c>
    </row>
    <row r="11" spans="1:35">
      <c r="A11">
        <v>260508</v>
      </c>
      <c r="B11">
        <v>3</v>
      </c>
      <c r="C11" t="s">
        <v>65</v>
      </c>
      <c r="D11" t="s">
        <v>66</v>
      </c>
      <c r="E11">
        <v>56</v>
      </c>
      <c r="F11" t="s">
        <v>17</v>
      </c>
      <c r="G11">
        <f>VLOOKUP(F11,选手工资!$A:$C,3,FALSE)</f>
        <v>6</v>
      </c>
      <c r="H11" t="s">
        <v>95</v>
      </c>
      <c r="I11">
        <v>5</v>
      </c>
      <c r="J11">
        <v>23</v>
      </c>
      <c r="K11">
        <v>6</v>
      </c>
      <c r="L11">
        <v>9</v>
      </c>
      <c r="M11">
        <v>29</v>
      </c>
      <c r="N11" s="2">
        <v>0.625</v>
      </c>
      <c r="O11" s="2">
        <v>0.114</v>
      </c>
      <c r="P11">
        <v>17918</v>
      </c>
      <c r="Q11">
        <v>68</v>
      </c>
      <c r="R11">
        <v>1</v>
      </c>
      <c r="S11">
        <v>330</v>
      </c>
      <c r="T11">
        <v>540</v>
      </c>
      <c r="U11">
        <v>1</v>
      </c>
      <c r="V11">
        <v>0</v>
      </c>
      <c r="W11">
        <v>1</v>
      </c>
      <c r="X11">
        <v>25230</v>
      </c>
      <c r="Y11">
        <v>405</v>
      </c>
      <c r="Z11">
        <v>31281</v>
      </c>
      <c r="AA11" s="2">
        <v>0.366</v>
      </c>
      <c r="AB11">
        <v>1522</v>
      </c>
      <c r="AC11" s="3">
        <v>0.285416666666667</v>
      </c>
      <c r="AD11">
        <v>4</v>
      </c>
      <c r="AE11">
        <v>2236</v>
      </c>
      <c r="AF11">
        <v>6</v>
      </c>
      <c r="AG11">
        <v>1400</v>
      </c>
      <c r="AH11">
        <v>4</v>
      </c>
      <c r="AI11">
        <v>7</v>
      </c>
    </row>
    <row r="13" spans="1:35">
      <c r="A13" s="1" t="s">
        <v>79</v>
      </c>
      <c r="B13" s="4">
        <v>8802748606</v>
      </c>
      <c r="C13" s="4"/>
    </row>
    <row r="14" spans="1:35">
      <c r="A14" s="1" t="s">
        <v>80</v>
      </c>
      <c r="B14" s="5" t="s">
        <v>142</v>
      </c>
    </row>
  </sheetData>
  <sortState ref="A2:AI11">
    <sortCondition ref="C2"/>
  </sortState>
  <mergeCells count="1">
    <mergeCell ref="B13:C1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AB2" activePane="bottomRight" state="frozen"/>
      <selection/>
      <selection pane="topRight"/>
      <selection pane="bottomLeft"/>
      <selection pane="bottomRight" activeCell="J6" sqref="J6"/>
    </sheetView>
  </sheetViews>
  <sheetFormatPr defaultColWidth="9.23076923076923" defaultRowHeight="16.8"/>
  <cols>
    <col min="6" max="6" width="8.15384615384615" customWidth="1"/>
    <col min="7" max="7" width="10.3076923076923" customWidth="1"/>
    <col min="8" max="9" width="12.9230769230769"/>
    <col min="32" max="32" width="12.5384615384615" customWidth="1"/>
    <col min="33" max="33" width="15.1538461538462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260509</v>
      </c>
      <c r="B2">
        <v>1</v>
      </c>
      <c r="C2" t="s">
        <v>72</v>
      </c>
      <c r="D2" t="s">
        <v>66</v>
      </c>
      <c r="E2">
        <v>43</v>
      </c>
      <c r="F2" t="s">
        <v>12</v>
      </c>
      <c r="G2">
        <f>VLOOKUP(F2,选手工资!$A:$D,4,FALSE)</f>
        <v>6</v>
      </c>
      <c r="H2" t="s">
        <v>141</v>
      </c>
      <c r="I2">
        <v>2</v>
      </c>
      <c r="J2">
        <v>27</v>
      </c>
      <c r="K2">
        <v>12</v>
      </c>
      <c r="L2">
        <v>5</v>
      </c>
      <c r="M2">
        <v>25</v>
      </c>
      <c r="N2" s="2">
        <v>0.86</v>
      </c>
      <c r="O2" s="2">
        <v>0.332</v>
      </c>
      <c r="P2">
        <v>29439</v>
      </c>
      <c r="Q2">
        <v>340</v>
      </c>
      <c r="R2">
        <v>20</v>
      </c>
      <c r="S2">
        <v>625</v>
      </c>
      <c r="T2">
        <v>979</v>
      </c>
      <c r="U2">
        <v>4</v>
      </c>
      <c r="V2">
        <v>177</v>
      </c>
      <c r="W2">
        <v>0</v>
      </c>
      <c r="X2">
        <v>55392</v>
      </c>
      <c r="Y2">
        <v>2651</v>
      </c>
      <c r="Z2">
        <v>96192</v>
      </c>
      <c r="AA2" s="2">
        <v>0.639</v>
      </c>
      <c r="AB2">
        <v>1251</v>
      </c>
      <c r="AC2" s="3">
        <v>0.185416666666667</v>
      </c>
      <c r="AD2">
        <v>9</v>
      </c>
      <c r="AE2">
        <v>3946</v>
      </c>
      <c r="AF2">
        <v>8</v>
      </c>
      <c r="AG2">
        <v>100</v>
      </c>
      <c r="AH2">
        <v>0</v>
      </c>
      <c r="AI2">
        <v>2</v>
      </c>
    </row>
    <row r="3" spans="1:35">
      <c r="A3">
        <v>260509</v>
      </c>
      <c r="B3">
        <v>1</v>
      </c>
      <c r="C3" t="s">
        <v>72</v>
      </c>
      <c r="D3" t="s">
        <v>66</v>
      </c>
      <c r="E3">
        <v>43</v>
      </c>
      <c r="F3" t="s">
        <v>8</v>
      </c>
      <c r="G3">
        <f>VLOOKUP(F3,选手工资!$A:$D,4,FALSE)</f>
        <v>8.5</v>
      </c>
      <c r="H3" t="s">
        <v>108</v>
      </c>
      <c r="I3">
        <v>1</v>
      </c>
      <c r="J3">
        <v>28</v>
      </c>
      <c r="K3">
        <v>8</v>
      </c>
      <c r="L3">
        <v>6</v>
      </c>
      <c r="M3">
        <v>30</v>
      </c>
      <c r="N3" s="2">
        <v>0.884</v>
      </c>
      <c r="O3" s="2">
        <v>0.26</v>
      </c>
      <c r="P3">
        <v>37098</v>
      </c>
      <c r="Q3">
        <v>554</v>
      </c>
      <c r="R3">
        <v>8</v>
      </c>
      <c r="S3">
        <v>755</v>
      </c>
      <c r="T3">
        <v>1064</v>
      </c>
      <c r="U3">
        <v>4</v>
      </c>
      <c r="V3">
        <v>0</v>
      </c>
      <c r="W3">
        <v>0</v>
      </c>
      <c r="X3">
        <v>43391</v>
      </c>
      <c r="Y3">
        <v>16700</v>
      </c>
      <c r="Z3">
        <v>101709</v>
      </c>
      <c r="AA3" s="2">
        <v>0.605</v>
      </c>
      <c r="AB3">
        <v>649</v>
      </c>
      <c r="AC3" s="3">
        <v>0.140972222222222</v>
      </c>
      <c r="AD3">
        <v>5</v>
      </c>
      <c r="AE3">
        <v>3838</v>
      </c>
      <c r="AF3">
        <v>7</v>
      </c>
      <c r="AG3">
        <v>0</v>
      </c>
      <c r="AH3">
        <v>1</v>
      </c>
      <c r="AI3">
        <v>3</v>
      </c>
    </row>
    <row r="4" spans="1:35">
      <c r="A4">
        <v>260509</v>
      </c>
      <c r="B4">
        <v>1</v>
      </c>
      <c r="C4" t="s">
        <v>72</v>
      </c>
      <c r="D4" t="s">
        <v>66</v>
      </c>
      <c r="E4">
        <v>43</v>
      </c>
      <c r="F4" t="s">
        <v>21</v>
      </c>
      <c r="G4">
        <f>VLOOKUP(F4,选手工资!$A:$D,4,FALSE)</f>
        <v>3</v>
      </c>
      <c r="H4" t="s">
        <v>76</v>
      </c>
      <c r="I4">
        <v>3</v>
      </c>
      <c r="J4">
        <v>25</v>
      </c>
      <c r="K4">
        <v>4</v>
      </c>
      <c r="L4">
        <v>8</v>
      </c>
      <c r="M4">
        <v>20</v>
      </c>
      <c r="N4" s="2">
        <v>0.558</v>
      </c>
      <c r="O4" s="2">
        <v>0.12</v>
      </c>
      <c r="P4">
        <v>19642</v>
      </c>
      <c r="Q4">
        <v>205</v>
      </c>
      <c r="R4">
        <v>5</v>
      </c>
      <c r="S4">
        <v>431</v>
      </c>
      <c r="T4">
        <v>694</v>
      </c>
      <c r="U4">
        <v>1</v>
      </c>
      <c r="V4">
        <v>4618</v>
      </c>
      <c r="W4">
        <v>0</v>
      </c>
      <c r="X4">
        <v>19933</v>
      </c>
      <c r="Y4">
        <v>2219</v>
      </c>
      <c r="Z4">
        <v>103491</v>
      </c>
      <c r="AA4" s="2">
        <v>0.658</v>
      </c>
      <c r="AB4">
        <v>1981</v>
      </c>
      <c r="AC4" s="3">
        <v>0.302777777777778</v>
      </c>
      <c r="AD4">
        <v>1</v>
      </c>
      <c r="AE4">
        <v>3038</v>
      </c>
      <c r="AF4">
        <v>5</v>
      </c>
      <c r="AG4">
        <v>50</v>
      </c>
      <c r="AH4">
        <v>1</v>
      </c>
      <c r="AI4">
        <v>0</v>
      </c>
    </row>
    <row r="5" spans="1:35">
      <c r="A5">
        <v>260509</v>
      </c>
      <c r="B5">
        <v>1</v>
      </c>
      <c r="C5" t="s">
        <v>72</v>
      </c>
      <c r="D5" t="s">
        <v>66</v>
      </c>
      <c r="E5">
        <v>43</v>
      </c>
      <c r="F5" t="s">
        <v>16</v>
      </c>
      <c r="G5">
        <f>VLOOKUP(F5,选手工资!$A:$D,4,FALSE)</f>
        <v>5</v>
      </c>
      <c r="H5" t="s">
        <v>84</v>
      </c>
      <c r="I5">
        <v>4</v>
      </c>
      <c r="J5">
        <v>24</v>
      </c>
      <c r="K5">
        <v>5</v>
      </c>
      <c r="L5">
        <v>7</v>
      </c>
      <c r="M5">
        <v>27</v>
      </c>
      <c r="N5" s="2">
        <v>0.744</v>
      </c>
      <c r="O5" s="2">
        <v>0.139</v>
      </c>
      <c r="P5">
        <v>17355</v>
      </c>
      <c r="Q5">
        <v>81</v>
      </c>
      <c r="R5">
        <v>0</v>
      </c>
      <c r="S5">
        <v>395</v>
      </c>
      <c r="T5">
        <v>652</v>
      </c>
      <c r="U5">
        <v>2</v>
      </c>
      <c r="V5">
        <v>1593</v>
      </c>
      <c r="W5">
        <v>3</v>
      </c>
      <c r="X5">
        <v>23159</v>
      </c>
      <c r="Y5">
        <v>864</v>
      </c>
      <c r="Z5">
        <v>43875</v>
      </c>
      <c r="AA5" s="2">
        <v>0.588</v>
      </c>
      <c r="AB5">
        <v>412</v>
      </c>
      <c r="AC5" s="3">
        <v>0.136111111111111</v>
      </c>
      <c r="AD5">
        <v>6</v>
      </c>
      <c r="AE5">
        <v>1930</v>
      </c>
      <c r="AF5">
        <v>5</v>
      </c>
      <c r="AG5">
        <v>1300</v>
      </c>
      <c r="AH5">
        <v>1</v>
      </c>
      <c r="AI5">
        <v>11</v>
      </c>
    </row>
    <row r="6" spans="1:35">
      <c r="A6">
        <v>260509</v>
      </c>
      <c r="B6">
        <v>1</v>
      </c>
      <c r="C6" t="s">
        <v>72</v>
      </c>
      <c r="D6" t="s">
        <v>66</v>
      </c>
      <c r="E6">
        <v>43</v>
      </c>
      <c r="F6" t="s">
        <v>31</v>
      </c>
      <c r="G6">
        <f>VLOOKUP(F6,选手工资!$A:$D,4,FALSE)</f>
        <v>1.5</v>
      </c>
      <c r="H6" t="s">
        <v>77</v>
      </c>
      <c r="I6">
        <v>5</v>
      </c>
      <c r="J6">
        <v>24</v>
      </c>
      <c r="K6">
        <v>13</v>
      </c>
      <c r="L6">
        <v>6</v>
      </c>
      <c r="M6">
        <v>23</v>
      </c>
      <c r="N6" s="2">
        <v>0.837</v>
      </c>
      <c r="O6" s="2">
        <v>0.149</v>
      </c>
      <c r="P6">
        <v>19340</v>
      </c>
      <c r="Q6">
        <v>61</v>
      </c>
      <c r="R6">
        <v>1</v>
      </c>
      <c r="S6">
        <v>411</v>
      </c>
      <c r="T6">
        <v>637</v>
      </c>
      <c r="U6">
        <v>1</v>
      </c>
      <c r="V6">
        <v>6211</v>
      </c>
      <c r="W6">
        <v>3</v>
      </c>
      <c r="X6">
        <v>24866</v>
      </c>
      <c r="Y6">
        <v>2240</v>
      </c>
      <c r="Z6">
        <v>44936</v>
      </c>
      <c r="AA6" s="2">
        <v>0.498</v>
      </c>
      <c r="AB6">
        <v>741</v>
      </c>
      <c r="AC6" s="3">
        <v>0.147222222222222</v>
      </c>
      <c r="AD6">
        <v>2</v>
      </c>
      <c r="AE6">
        <v>1771</v>
      </c>
      <c r="AF6">
        <v>5</v>
      </c>
      <c r="AG6">
        <v>500</v>
      </c>
      <c r="AH6">
        <v>2</v>
      </c>
      <c r="AI6">
        <v>6</v>
      </c>
    </row>
    <row r="7" spans="1:35">
      <c r="A7">
        <v>260509</v>
      </c>
      <c r="B7">
        <v>1</v>
      </c>
      <c r="C7" t="s">
        <v>65</v>
      </c>
      <c r="D7" t="s">
        <v>73</v>
      </c>
      <c r="E7">
        <v>32</v>
      </c>
      <c r="F7" t="s">
        <v>22</v>
      </c>
      <c r="G7">
        <f>VLOOKUP(F7,选手工资!$A:$D,4,FALSE)</f>
        <v>4.5</v>
      </c>
      <c r="H7" t="s">
        <v>85</v>
      </c>
      <c r="I7">
        <v>2</v>
      </c>
      <c r="J7">
        <v>25</v>
      </c>
      <c r="K7">
        <v>5</v>
      </c>
      <c r="L7">
        <v>5</v>
      </c>
      <c r="M7">
        <v>12</v>
      </c>
      <c r="N7" s="2">
        <v>0.531</v>
      </c>
      <c r="O7" s="2">
        <v>0.226</v>
      </c>
      <c r="P7">
        <v>22140</v>
      </c>
      <c r="Q7">
        <v>338</v>
      </c>
      <c r="R7">
        <v>2</v>
      </c>
      <c r="S7">
        <v>495</v>
      </c>
      <c r="T7">
        <v>709</v>
      </c>
      <c r="U7">
        <v>4</v>
      </c>
      <c r="V7">
        <v>10403</v>
      </c>
      <c r="W7">
        <v>0</v>
      </c>
      <c r="X7">
        <v>34282</v>
      </c>
      <c r="Y7">
        <v>609</v>
      </c>
      <c r="Z7">
        <v>66986</v>
      </c>
      <c r="AA7" s="2">
        <v>0.411</v>
      </c>
      <c r="AB7">
        <v>1799</v>
      </c>
      <c r="AC7" s="3">
        <v>0.190277777777778</v>
      </c>
      <c r="AD7">
        <v>3</v>
      </c>
      <c r="AE7">
        <v>3327</v>
      </c>
      <c r="AF7">
        <v>7</v>
      </c>
      <c r="AG7">
        <v>0</v>
      </c>
      <c r="AH7">
        <v>3</v>
      </c>
      <c r="AI7">
        <v>0</v>
      </c>
    </row>
    <row r="8" spans="1:35">
      <c r="A8">
        <v>260509</v>
      </c>
      <c r="B8">
        <v>1</v>
      </c>
      <c r="C8" t="s">
        <v>65</v>
      </c>
      <c r="D8" t="s">
        <v>73</v>
      </c>
      <c r="E8">
        <v>32</v>
      </c>
      <c r="F8" t="s">
        <v>14</v>
      </c>
      <c r="G8">
        <f>VLOOKUP(F8,选手工资!$A:$D,4,FALSE)</f>
        <v>6</v>
      </c>
      <c r="H8" t="s">
        <v>87</v>
      </c>
      <c r="I8">
        <v>4</v>
      </c>
      <c r="J8">
        <v>19</v>
      </c>
      <c r="K8">
        <v>3</v>
      </c>
      <c r="L8">
        <v>10</v>
      </c>
      <c r="M8">
        <v>20</v>
      </c>
      <c r="N8" s="2">
        <v>0.719</v>
      </c>
      <c r="O8" s="2">
        <v>0.085</v>
      </c>
      <c r="P8">
        <v>11708</v>
      </c>
      <c r="Q8">
        <v>64</v>
      </c>
      <c r="R8">
        <v>5</v>
      </c>
      <c r="S8">
        <v>313</v>
      </c>
      <c r="T8">
        <v>394</v>
      </c>
      <c r="U8">
        <v>4</v>
      </c>
      <c r="V8">
        <v>125</v>
      </c>
      <c r="W8">
        <v>0</v>
      </c>
      <c r="X8">
        <v>12903</v>
      </c>
      <c r="Y8">
        <v>222</v>
      </c>
      <c r="Z8">
        <v>41969</v>
      </c>
      <c r="AA8" s="2">
        <v>0.45</v>
      </c>
      <c r="AB8">
        <v>1178</v>
      </c>
      <c r="AC8" s="3">
        <v>0.313888888888889</v>
      </c>
      <c r="AD8">
        <v>7</v>
      </c>
      <c r="AE8">
        <v>2581</v>
      </c>
      <c r="AF8">
        <v>6</v>
      </c>
      <c r="AG8">
        <v>1600</v>
      </c>
      <c r="AH8">
        <v>2</v>
      </c>
      <c r="AI8">
        <v>11</v>
      </c>
    </row>
    <row r="9" spans="1:35">
      <c r="A9">
        <v>260509</v>
      </c>
      <c r="B9">
        <v>1</v>
      </c>
      <c r="C9" t="s">
        <v>65</v>
      </c>
      <c r="D9" t="s">
        <v>73</v>
      </c>
      <c r="E9">
        <v>32</v>
      </c>
      <c r="F9" t="s">
        <v>23</v>
      </c>
      <c r="G9">
        <f>VLOOKUP(F9,选手工资!$A:$D,4,FALSE)</f>
        <v>4</v>
      </c>
      <c r="H9" t="s">
        <v>143</v>
      </c>
      <c r="I9">
        <v>3</v>
      </c>
      <c r="J9">
        <v>22</v>
      </c>
      <c r="K9">
        <v>7</v>
      </c>
      <c r="L9">
        <v>9</v>
      </c>
      <c r="M9">
        <v>12</v>
      </c>
      <c r="N9" s="2">
        <v>0.594</v>
      </c>
      <c r="O9" s="2">
        <v>0.194</v>
      </c>
      <c r="P9">
        <v>19473</v>
      </c>
      <c r="Q9">
        <v>273</v>
      </c>
      <c r="R9">
        <v>4</v>
      </c>
      <c r="S9">
        <v>439</v>
      </c>
      <c r="T9">
        <v>561</v>
      </c>
      <c r="U9">
        <v>2</v>
      </c>
      <c r="V9">
        <v>0</v>
      </c>
      <c r="W9">
        <v>0</v>
      </c>
      <c r="X9">
        <v>29399</v>
      </c>
      <c r="Y9">
        <v>834</v>
      </c>
      <c r="Z9">
        <v>78429</v>
      </c>
      <c r="AA9" s="2">
        <v>0.495</v>
      </c>
      <c r="AB9">
        <v>2188</v>
      </c>
      <c r="AC9" s="3">
        <v>0.361111111111111</v>
      </c>
      <c r="AD9">
        <v>8</v>
      </c>
      <c r="AE9">
        <v>4713</v>
      </c>
      <c r="AF9">
        <v>7</v>
      </c>
      <c r="AG9">
        <v>50</v>
      </c>
      <c r="AH9">
        <v>0</v>
      </c>
      <c r="AI9">
        <v>1</v>
      </c>
    </row>
    <row r="10" spans="1:35">
      <c r="A10">
        <v>260509</v>
      </c>
      <c r="B10">
        <v>1</v>
      </c>
      <c r="C10" t="s">
        <v>65</v>
      </c>
      <c r="D10" t="s">
        <v>73</v>
      </c>
      <c r="E10">
        <v>32</v>
      </c>
      <c r="F10" t="s">
        <v>15</v>
      </c>
      <c r="G10">
        <f>VLOOKUP(F10,选手工资!$A:$D,4,FALSE)</f>
        <v>7</v>
      </c>
      <c r="H10" t="s">
        <v>101</v>
      </c>
      <c r="I10">
        <v>1</v>
      </c>
      <c r="J10">
        <v>27</v>
      </c>
      <c r="K10">
        <v>14</v>
      </c>
      <c r="L10">
        <v>6</v>
      </c>
      <c r="M10">
        <v>9</v>
      </c>
      <c r="N10" s="2">
        <v>0.719</v>
      </c>
      <c r="O10" s="2">
        <v>0.409</v>
      </c>
      <c r="P10">
        <v>28087</v>
      </c>
      <c r="Q10">
        <v>488</v>
      </c>
      <c r="R10">
        <v>18</v>
      </c>
      <c r="S10">
        <v>682</v>
      </c>
      <c r="T10">
        <v>876</v>
      </c>
      <c r="U10">
        <v>5</v>
      </c>
      <c r="V10">
        <v>0</v>
      </c>
      <c r="W10">
        <v>4</v>
      </c>
      <c r="X10">
        <v>62065</v>
      </c>
      <c r="Y10">
        <v>11533</v>
      </c>
      <c r="Z10">
        <v>88273</v>
      </c>
      <c r="AA10" s="2">
        <v>0.519</v>
      </c>
      <c r="AB10">
        <v>2831</v>
      </c>
      <c r="AC10" s="3">
        <v>0.256944444444444</v>
      </c>
      <c r="AD10">
        <v>10</v>
      </c>
      <c r="AE10">
        <v>4495</v>
      </c>
      <c r="AF10">
        <v>6</v>
      </c>
      <c r="AG10">
        <v>0</v>
      </c>
      <c r="AH10">
        <v>0</v>
      </c>
      <c r="AI10">
        <v>2</v>
      </c>
    </row>
    <row r="11" spans="1:35">
      <c r="A11">
        <v>260509</v>
      </c>
      <c r="B11">
        <v>1</v>
      </c>
      <c r="C11" t="s">
        <v>65</v>
      </c>
      <c r="D11" t="s">
        <v>73</v>
      </c>
      <c r="E11">
        <v>32</v>
      </c>
      <c r="F11" t="s">
        <v>28</v>
      </c>
      <c r="G11">
        <f>VLOOKUP(F11,选手工资!$A:$D,4,FALSE)</f>
        <v>2.5</v>
      </c>
      <c r="H11" t="s">
        <v>144</v>
      </c>
      <c r="I11">
        <v>5</v>
      </c>
      <c r="J11">
        <v>18</v>
      </c>
      <c r="K11">
        <v>3</v>
      </c>
      <c r="L11">
        <v>13</v>
      </c>
      <c r="M11">
        <v>19</v>
      </c>
      <c r="N11" s="2">
        <v>0.688</v>
      </c>
      <c r="O11" s="2">
        <v>0.087</v>
      </c>
      <c r="P11">
        <v>9698</v>
      </c>
      <c r="Q11">
        <v>64</v>
      </c>
      <c r="R11">
        <v>3</v>
      </c>
      <c r="S11">
        <v>278</v>
      </c>
      <c r="T11">
        <v>380</v>
      </c>
      <c r="U11">
        <v>0</v>
      </c>
      <c r="V11">
        <v>0</v>
      </c>
      <c r="W11">
        <v>1</v>
      </c>
      <c r="X11">
        <v>13162</v>
      </c>
      <c r="Y11">
        <v>3968</v>
      </c>
      <c r="Z11">
        <v>41355</v>
      </c>
      <c r="AA11" s="2">
        <v>0.465</v>
      </c>
      <c r="AB11">
        <v>1336</v>
      </c>
      <c r="AC11" s="3">
        <v>0.408333333333333</v>
      </c>
      <c r="AD11">
        <v>4</v>
      </c>
      <c r="AE11">
        <v>1557</v>
      </c>
      <c r="AF11">
        <v>5</v>
      </c>
      <c r="AG11">
        <v>850</v>
      </c>
      <c r="AH11">
        <v>0</v>
      </c>
      <c r="AI11">
        <v>5</v>
      </c>
    </row>
    <row r="14" spans="1:35">
      <c r="A14" s="1" t="s">
        <v>79</v>
      </c>
      <c r="B14" s="4">
        <v>8804007353</v>
      </c>
      <c r="C14" s="4"/>
    </row>
    <row r="15" spans="1:35">
      <c r="A15" s="1" t="s">
        <v>80</v>
      </c>
      <c r="B15" s="5" t="s">
        <v>145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"/>
  <sheetViews>
    <sheetView workbookViewId="0">
      <pane xSplit="8" ySplit="1" topLeftCell="AG2" activePane="bottomRight" state="frozen"/>
      <selection/>
      <selection pane="topRight"/>
      <selection pane="bottomLeft"/>
      <selection pane="bottomRight" activeCell="J6" sqref="J6"/>
    </sheetView>
  </sheetViews>
  <sheetFormatPr defaultColWidth="9.23076923076923" defaultRowHeight="16.8"/>
  <cols>
    <col min="7" max="8" width="10.3076923076923" customWidth="1"/>
    <col min="31" max="32" width="12.5384615384615" customWidth="1"/>
    <col min="33" max="33" width="15.1538461538462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260509</v>
      </c>
      <c r="B2">
        <v>2</v>
      </c>
      <c r="C2" t="s">
        <v>72</v>
      </c>
      <c r="D2" t="s">
        <v>73</v>
      </c>
      <c r="E2">
        <v>25</v>
      </c>
      <c r="F2" t="s">
        <v>10</v>
      </c>
      <c r="G2">
        <f>VLOOKUP(F2,选手工资!$A:$D,4,FALSE)</f>
        <v>7.5</v>
      </c>
      <c r="H2" t="s">
        <v>146</v>
      </c>
      <c r="I2">
        <v>2</v>
      </c>
      <c r="J2">
        <v>24</v>
      </c>
      <c r="K2">
        <v>3</v>
      </c>
      <c r="L2">
        <v>13</v>
      </c>
      <c r="M2">
        <v>17</v>
      </c>
      <c r="N2" s="2">
        <v>0.8</v>
      </c>
      <c r="O2" s="2">
        <v>0.262</v>
      </c>
      <c r="P2">
        <v>19769</v>
      </c>
      <c r="Q2">
        <v>322</v>
      </c>
      <c r="R2">
        <v>9</v>
      </c>
      <c r="S2">
        <v>474</v>
      </c>
      <c r="T2">
        <v>712</v>
      </c>
      <c r="U2">
        <v>0</v>
      </c>
      <c r="V2">
        <v>5756</v>
      </c>
      <c r="W2">
        <v>0</v>
      </c>
      <c r="X2">
        <v>32027</v>
      </c>
      <c r="Y2">
        <v>591</v>
      </c>
      <c r="Z2">
        <v>106404</v>
      </c>
      <c r="AA2" s="2">
        <v>0.523</v>
      </c>
      <c r="AB2">
        <v>2885</v>
      </c>
      <c r="AC2" s="3">
        <v>0.476388888888889</v>
      </c>
      <c r="AD2">
        <v>9</v>
      </c>
      <c r="AE2">
        <v>4109</v>
      </c>
      <c r="AF2">
        <v>8</v>
      </c>
      <c r="AG2">
        <v>100</v>
      </c>
      <c r="AH2">
        <v>2</v>
      </c>
      <c r="AI2">
        <v>2</v>
      </c>
    </row>
    <row r="3" spans="1:35">
      <c r="A3">
        <v>260509</v>
      </c>
      <c r="B3">
        <v>2</v>
      </c>
      <c r="C3" t="s">
        <v>72</v>
      </c>
      <c r="D3" t="s">
        <v>73</v>
      </c>
      <c r="E3">
        <v>25</v>
      </c>
      <c r="F3" t="s">
        <v>21</v>
      </c>
      <c r="G3">
        <f>VLOOKUP(F3,选手工资!$A:$D,4,FALSE)</f>
        <v>3</v>
      </c>
      <c r="H3" t="s">
        <v>76</v>
      </c>
      <c r="I3">
        <v>3</v>
      </c>
      <c r="J3">
        <v>22</v>
      </c>
      <c r="K3">
        <v>3</v>
      </c>
      <c r="L3">
        <v>7</v>
      </c>
      <c r="M3">
        <v>4</v>
      </c>
      <c r="N3" s="2">
        <v>0.28</v>
      </c>
      <c r="O3" s="2">
        <v>0.171</v>
      </c>
      <c r="P3">
        <v>17908</v>
      </c>
      <c r="Q3">
        <v>319</v>
      </c>
      <c r="R3">
        <v>12</v>
      </c>
      <c r="S3">
        <v>425</v>
      </c>
      <c r="T3">
        <v>588</v>
      </c>
      <c r="U3">
        <v>1</v>
      </c>
      <c r="V3">
        <v>2127</v>
      </c>
      <c r="W3">
        <v>1</v>
      </c>
      <c r="X3">
        <v>20909</v>
      </c>
      <c r="Y3">
        <v>434</v>
      </c>
      <c r="Z3">
        <v>63778</v>
      </c>
      <c r="AA3" s="2">
        <v>0.471</v>
      </c>
      <c r="AB3">
        <v>2331</v>
      </c>
      <c r="AC3" s="3">
        <v>0.294444444444444</v>
      </c>
      <c r="AD3">
        <v>6</v>
      </c>
      <c r="AE3">
        <v>3773</v>
      </c>
      <c r="AF3">
        <v>6</v>
      </c>
      <c r="AG3">
        <v>0</v>
      </c>
      <c r="AH3">
        <v>1</v>
      </c>
      <c r="AI3">
        <v>1</v>
      </c>
    </row>
    <row r="4" spans="1:35">
      <c r="A4">
        <v>260509</v>
      </c>
      <c r="B4">
        <v>2</v>
      </c>
      <c r="C4" t="s">
        <v>72</v>
      </c>
      <c r="D4" t="s">
        <v>73</v>
      </c>
      <c r="E4">
        <v>25</v>
      </c>
      <c r="F4" t="s">
        <v>22</v>
      </c>
      <c r="G4">
        <f>VLOOKUP(F4,选手工资!$A:$D,4,FALSE)</f>
        <v>4.5</v>
      </c>
      <c r="H4" t="s">
        <v>147</v>
      </c>
      <c r="I4">
        <v>1</v>
      </c>
      <c r="J4">
        <v>24</v>
      </c>
      <c r="K4">
        <v>9</v>
      </c>
      <c r="L4">
        <v>11</v>
      </c>
      <c r="M4">
        <v>8</v>
      </c>
      <c r="N4" s="2">
        <v>0.68</v>
      </c>
      <c r="O4" s="2">
        <v>0.265</v>
      </c>
      <c r="P4">
        <v>21996</v>
      </c>
      <c r="Q4">
        <v>400</v>
      </c>
      <c r="R4">
        <v>11</v>
      </c>
      <c r="S4">
        <v>560</v>
      </c>
      <c r="T4">
        <v>719</v>
      </c>
      <c r="U4">
        <v>3</v>
      </c>
      <c r="V4">
        <v>0</v>
      </c>
      <c r="W4">
        <v>0</v>
      </c>
      <c r="X4">
        <v>32406</v>
      </c>
      <c r="Y4">
        <v>718</v>
      </c>
      <c r="Z4">
        <v>48122</v>
      </c>
      <c r="AA4" s="2">
        <v>0.474</v>
      </c>
      <c r="AB4">
        <v>2153</v>
      </c>
      <c r="AC4" s="3">
        <v>0.390972222222222</v>
      </c>
      <c r="AD4">
        <v>2</v>
      </c>
      <c r="AE4">
        <v>3697</v>
      </c>
      <c r="AF4">
        <v>6</v>
      </c>
      <c r="AG4">
        <v>0</v>
      </c>
      <c r="AH4">
        <v>4</v>
      </c>
      <c r="AI4">
        <v>0</v>
      </c>
    </row>
    <row r="5" spans="1:35">
      <c r="A5">
        <v>260509</v>
      </c>
      <c r="B5">
        <v>2</v>
      </c>
      <c r="C5" t="s">
        <v>72</v>
      </c>
      <c r="D5" t="s">
        <v>73</v>
      </c>
      <c r="E5">
        <v>25</v>
      </c>
      <c r="F5" t="s">
        <v>16</v>
      </c>
      <c r="G5">
        <f>VLOOKUP(F5,选手工资!$A:$D,4,FALSE)</f>
        <v>5</v>
      </c>
      <c r="H5" t="s">
        <v>148</v>
      </c>
      <c r="I5">
        <v>4</v>
      </c>
      <c r="J5">
        <v>24</v>
      </c>
      <c r="K5">
        <v>8</v>
      </c>
      <c r="L5">
        <v>11</v>
      </c>
      <c r="M5">
        <v>9</v>
      </c>
      <c r="N5" s="2">
        <v>0.68</v>
      </c>
      <c r="O5" s="2">
        <v>0.194</v>
      </c>
      <c r="P5">
        <v>13938</v>
      </c>
      <c r="Q5">
        <v>141</v>
      </c>
      <c r="R5">
        <v>14</v>
      </c>
      <c r="S5">
        <v>382</v>
      </c>
      <c r="T5">
        <v>667</v>
      </c>
      <c r="U5">
        <v>3</v>
      </c>
      <c r="V5">
        <v>0</v>
      </c>
      <c r="W5">
        <v>0</v>
      </c>
      <c r="X5">
        <v>23700</v>
      </c>
      <c r="Y5">
        <v>1553</v>
      </c>
      <c r="Z5">
        <v>42098</v>
      </c>
      <c r="AA5" s="2">
        <v>0.391</v>
      </c>
      <c r="AB5">
        <v>1892</v>
      </c>
      <c r="AC5" s="3">
        <v>0.376388888888889</v>
      </c>
      <c r="AD5">
        <v>5</v>
      </c>
      <c r="AE5">
        <v>2524</v>
      </c>
      <c r="AF5">
        <v>5</v>
      </c>
      <c r="AG5">
        <v>250</v>
      </c>
      <c r="AH5">
        <v>2</v>
      </c>
      <c r="AI5">
        <v>5</v>
      </c>
    </row>
    <row r="6" spans="1:35">
      <c r="A6">
        <v>260509</v>
      </c>
      <c r="B6">
        <v>2</v>
      </c>
      <c r="C6" t="s">
        <v>72</v>
      </c>
      <c r="D6" t="s">
        <v>73</v>
      </c>
      <c r="E6">
        <v>25</v>
      </c>
      <c r="F6" t="s">
        <v>6</v>
      </c>
      <c r="G6">
        <f>VLOOKUP(F6,选手工资!$A:$D,4,FALSE)</f>
        <v>6.5</v>
      </c>
      <c r="H6" t="s">
        <v>149</v>
      </c>
      <c r="I6">
        <v>5</v>
      </c>
      <c r="J6">
        <v>23</v>
      </c>
      <c r="K6">
        <v>2</v>
      </c>
      <c r="L6">
        <v>9</v>
      </c>
      <c r="M6">
        <v>20</v>
      </c>
      <c r="N6" s="2">
        <v>0.88</v>
      </c>
      <c r="O6" s="2">
        <v>0.109</v>
      </c>
      <c r="P6">
        <v>12574</v>
      </c>
      <c r="Q6">
        <v>122</v>
      </c>
      <c r="R6">
        <v>2</v>
      </c>
      <c r="S6">
        <v>343</v>
      </c>
      <c r="T6">
        <v>640</v>
      </c>
      <c r="U6">
        <v>3</v>
      </c>
      <c r="V6">
        <v>393</v>
      </c>
      <c r="W6">
        <v>1</v>
      </c>
      <c r="X6">
        <v>13276</v>
      </c>
      <c r="Y6">
        <v>0</v>
      </c>
      <c r="Z6">
        <v>32935</v>
      </c>
      <c r="AA6" s="2">
        <v>0.509</v>
      </c>
      <c r="AB6">
        <v>1272</v>
      </c>
      <c r="AC6" s="3">
        <v>0.220833333333333</v>
      </c>
      <c r="AD6">
        <v>1</v>
      </c>
      <c r="AE6">
        <v>2343</v>
      </c>
      <c r="AF6">
        <v>5</v>
      </c>
      <c r="AG6">
        <v>1400</v>
      </c>
      <c r="AH6">
        <v>4</v>
      </c>
      <c r="AI6">
        <v>16</v>
      </c>
    </row>
    <row r="7" spans="1:35">
      <c r="A7">
        <v>260509</v>
      </c>
      <c r="B7">
        <v>2</v>
      </c>
      <c r="C7" t="s">
        <v>65</v>
      </c>
      <c r="D7" t="s">
        <v>66</v>
      </c>
      <c r="E7">
        <v>50</v>
      </c>
      <c r="F7" t="s">
        <v>8</v>
      </c>
      <c r="G7">
        <f>VLOOKUP(F7,选手工资!$A:$D,4,FALSE)</f>
        <v>8.5</v>
      </c>
      <c r="H7" t="s">
        <v>107</v>
      </c>
      <c r="I7">
        <v>2</v>
      </c>
      <c r="J7">
        <v>29</v>
      </c>
      <c r="K7">
        <v>13</v>
      </c>
      <c r="L7">
        <v>2</v>
      </c>
      <c r="M7">
        <v>23</v>
      </c>
      <c r="N7" s="2">
        <v>0.72</v>
      </c>
      <c r="O7" s="2">
        <v>0.358</v>
      </c>
      <c r="P7">
        <v>36609</v>
      </c>
      <c r="Q7">
        <v>516</v>
      </c>
      <c r="R7">
        <v>15</v>
      </c>
      <c r="S7">
        <v>818</v>
      </c>
      <c r="T7">
        <v>1197</v>
      </c>
      <c r="U7">
        <v>3</v>
      </c>
      <c r="V7">
        <v>0</v>
      </c>
      <c r="W7">
        <v>0</v>
      </c>
      <c r="X7">
        <v>54262</v>
      </c>
      <c r="Y7">
        <v>5325</v>
      </c>
      <c r="Z7">
        <v>54992</v>
      </c>
      <c r="AA7" s="2">
        <v>0.521</v>
      </c>
      <c r="AB7">
        <v>676</v>
      </c>
      <c r="AC7" s="3">
        <v>0.0847222222222222</v>
      </c>
      <c r="AD7">
        <v>10</v>
      </c>
      <c r="AE7">
        <v>4818</v>
      </c>
      <c r="AF7">
        <v>9</v>
      </c>
      <c r="AG7">
        <v>50</v>
      </c>
      <c r="AH7">
        <v>1</v>
      </c>
      <c r="AI7">
        <v>1</v>
      </c>
    </row>
    <row r="8" spans="1:35">
      <c r="A8">
        <v>260509</v>
      </c>
      <c r="B8">
        <v>2</v>
      </c>
      <c r="C8" t="s">
        <v>65</v>
      </c>
      <c r="D8" t="s">
        <v>66</v>
      </c>
      <c r="E8">
        <v>50</v>
      </c>
      <c r="F8" t="s">
        <v>23</v>
      </c>
      <c r="G8">
        <f>VLOOKUP(F8,选手工资!$A:$D,4,FALSE)</f>
        <v>4</v>
      </c>
      <c r="H8" t="s">
        <v>150</v>
      </c>
      <c r="I8">
        <v>3</v>
      </c>
      <c r="J8">
        <v>26</v>
      </c>
      <c r="K8">
        <v>10</v>
      </c>
      <c r="L8">
        <v>9</v>
      </c>
      <c r="M8">
        <v>20</v>
      </c>
      <c r="N8" s="2">
        <v>0.6</v>
      </c>
      <c r="O8" s="2">
        <v>0.211</v>
      </c>
      <c r="P8">
        <v>19776</v>
      </c>
      <c r="Q8">
        <v>294</v>
      </c>
      <c r="R8">
        <v>2</v>
      </c>
      <c r="S8">
        <v>542</v>
      </c>
      <c r="T8">
        <v>851</v>
      </c>
      <c r="U8">
        <v>5</v>
      </c>
      <c r="V8">
        <v>0</v>
      </c>
      <c r="W8">
        <v>0</v>
      </c>
      <c r="X8">
        <v>31944</v>
      </c>
      <c r="Y8">
        <v>3167</v>
      </c>
      <c r="Z8">
        <v>58730</v>
      </c>
      <c r="AA8" s="2">
        <v>0.419</v>
      </c>
      <c r="AB8">
        <v>2530</v>
      </c>
      <c r="AC8" s="3">
        <v>0.305555555555556</v>
      </c>
      <c r="AD8">
        <v>7</v>
      </c>
      <c r="AE8">
        <v>3771</v>
      </c>
      <c r="AF8">
        <v>7</v>
      </c>
      <c r="AG8">
        <v>130</v>
      </c>
      <c r="AH8">
        <v>0</v>
      </c>
      <c r="AI8">
        <v>0</v>
      </c>
    </row>
    <row r="9" spans="1:35">
      <c r="A9">
        <v>260509</v>
      </c>
      <c r="B9">
        <v>2</v>
      </c>
      <c r="C9" t="s">
        <v>65</v>
      </c>
      <c r="D9" t="s">
        <v>66</v>
      </c>
      <c r="E9">
        <v>50</v>
      </c>
      <c r="F9" t="s">
        <v>15</v>
      </c>
      <c r="G9">
        <f>VLOOKUP(F9,选手工资!$A:$D,4,FALSE)</f>
        <v>7</v>
      </c>
      <c r="H9" t="s">
        <v>108</v>
      </c>
      <c r="I9">
        <v>1</v>
      </c>
      <c r="J9">
        <v>28</v>
      </c>
      <c r="K9">
        <v>14</v>
      </c>
      <c r="L9">
        <v>3</v>
      </c>
      <c r="M9">
        <v>19</v>
      </c>
      <c r="N9" s="2">
        <v>0.66</v>
      </c>
      <c r="O9" s="2">
        <v>0.221</v>
      </c>
      <c r="P9">
        <v>33574</v>
      </c>
      <c r="Q9">
        <v>431</v>
      </c>
      <c r="R9">
        <v>11</v>
      </c>
      <c r="S9">
        <v>746</v>
      </c>
      <c r="T9">
        <v>1098</v>
      </c>
      <c r="U9">
        <v>4</v>
      </c>
      <c r="V9">
        <v>0</v>
      </c>
      <c r="W9">
        <v>1</v>
      </c>
      <c r="X9">
        <v>33476</v>
      </c>
      <c r="Y9">
        <v>10200</v>
      </c>
      <c r="Z9">
        <v>53316</v>
      </c>
      <c r="AA9" s="2">
        <v>0.435</v>
      </c>
      <c r="AB9">
        <v>1334</v>
      </c>
      <c r="AC9" s="3">
        <v>0.140972222222222</v>
      </c>
      <c r="AD9">
        <v>8</v>
      </c>
      <c r="AE9">
        <v>3480</v>
      </c>
      <c r="AF9">
        <v>6</v>
      </c>
      <c r="AG9">
        <v>200</v>
      </c>
      <c r="AH9">
        <v>1</v>
      </c>
      <c r="AI9">
        <v>6</v>
      </c>
    </row>
    <row r="10" spans="1:35">
      <c r="A10">
        <v>260509</v>
      </c>
      <c r="B10">
        <v>2</v>
      </c>
      <c r="C10" t="s">
        <v>65</v>
      </c>
      <c r="D10" t="s">
        <v>66</v>
      </c>
      <c r="E10">
        <v>50</v>
      </c>
      <c r="F10" t="s">
        <v>20</v>
      </c>
      <c r="G10">
        <f>VLOOKUP(F10,选手工资!$A:$D,4,FALSE)</f>
        <v>5.5</v>
      </c>
      <c r="H10" t="s">
        <v>84</v>
      </c>
      <c r="I10">
        <v>4</v>
      </c>
      <c r="J10">
        <v>26</v>
      </c>
      <c r="K10">
        <v>10</v>
      </c>
      <c r="L10">
        <v>8</v>
      </c>
      <c r="M10">
        <v>30</v>
      </c>
      <c r="N10" s="2">
        <v>0.8</v>
      </c>
      <c r="O10" s="2">
        <v>0.124</v>
      </c>
      <c r="P10">
        <v>20560</v>
      </c>
      <c r="Q10">
        <v>176</v>
      </c>
      <c r="R10">
        <v>0</v>
      </c>
      <c r="S10">
        <v>469</v>
      </c>
      <c r="T10">
        <v>895</v>
      </c>
      <c r="U10">
        <v>3</v>
      </c>
      <c r="V10">
        <v>0</v>
      </c>
      <c r="W10">
        <v>3</v>
      </c>
      <c r="X10">
        <v>18815</v>
      </c>
      <c r="Y10">
        <v>4384</v>
      </c>
      <c r="Z10">
        <v>26596</v>
      </c>
      <c r="AA10" s="2">
        <v>0.441</v>
      </c>
      <c r="AB10">
        <v>1317</v>
      </c>
      <c r="AC10" s="3">
        <v>0.247916666666667</v>
      </c>
      <c r="AD10">
        <v>3</v>
      </c>
      <c r="AE10">
        <v>2560</v>
      </c>
      <c r="AF10">
        <v>5</v>
      </c>
      <c r="AG10">
        <v>480</v>
      </c>
      <c r="AH10">
        <v>0</v>
      </c>
      <c r="AI10">
        <v>5</v>
      </c>
    </row>
    <row r="11" spans="1:35">
      <c r="A11">
        <v>260509</v>
      </c>
      <c r="B11">
        <v>2</v>
      </c>
      <c r="C11" t="s">
        <v>65</v>
      </c>
      <c r="D11" t="s">
        <v>66</v>
      </c>
      <c r="E11">
        <v>50</v>
      </c>
      <c r="F11" t="s">
        <v>31</v>
      </c>
      <c r="G11">
        <f>VLOOKUP(F11,选手工资!$A:$D,4,FALSE)</f>
        <v>1.5</v>
      </c>
      <c r="H11" t="s">
        <v>102</v>
      </c>
      <c r="I11">
        <v>5</v>
      </c>
      <c r="J11">
        <v>24</v>
      </c>
      <c r="K11">
        <v>3</v>
      </c>
      <c r="L11">
        <v>3</v>
      </c>
      <c r="M11">
        <v>21</v>
      </c>
      <c r="N11" s="2">
        <v>0.48</v>
      </c>
      <c r="O11" s="2">
        <v>0.087</v>
      </c>
      <c r="P11">
        <v>14684</v>
      </c>
      <c r="Q11">
        <v>59</v>
      </c>
      <c r="R11">
        <v>1</v>
      </c>
      <c r="S11">
        <v>355</v>
      </c>
      <c r="T11">
        <v>697</v>
      </c>
      <c r="U11">
        <v>1</v>
      </c>
      <c r="V11">
        <v>0</v>
      </c>
      <c r="W11">
        <v>1</v>
      </c>
      <c r="X11">
        <v>13139</v>
      </c>
      <c r="Y11">
        <v>1626</v>
      </c>
      <c r="Z11">
        <v>24620</v>
      </c>
      <c r="AA11" s="2">
        <v>0.384</v>
      </c>
      <c r="AB11">
        <v>479</v>
      </c>
      <c r="AC11" s="3">
        <v>0.0979166666666667</v>
      </c>
      <c r="AD11">
        <v>4</v>
      </c>
      <c r="AE11">
        <v>1891</v>
      </c>
      <c r="AF11">
        <v>5</v>
      </c>
      <c r="AG11">
        <v>2030</v>
      </c>
      <c r="AH11">
        <v>2</v>
      </c>
      <c r="AI11">
        <v>12</v>
      </c>
    </row>
    <row r="13" spans="1:35">
      <c r="A13" s="1" t="s">
        <v>79</v>
      </c>
      <c r="B13" s="4">
        <v>8804102504</v>
      </c>
      <c r="C13" s="4"/>
    </row>
    <row r="14" spans="1:35">
      <c r="A14" s="1" t="s">
        <v>80</v>
      </c>
      <c r="B14" s="5" t="s">
        <v>151</v>
      </c>
    </row>
  </sheetData>
  <sortState ref="A2:AI11">
    <sortCondition ref="C2"/>
  </sortState>
  <mergeCells count="1">
    <mergeCell ref="B13:C1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T2" activePane="bottomRight" state="frozen"/>
      <selection/>
      <selection pane="topRight"/>
      <selection pane="bottomLeft"/>
      <selection pane="bottomRight" activeCell="A14" sqref="A14:C15"/>
    </sheetView>
  </sheetViews>
  <sheetFormatPr defaultColWidth="9.23076923076923" defaultRowHeight="16.8"/>
  <cols>
    <col min="6" max="6" width="12.9230769230769"/>
    <col min="7" max="7" width="10.3076923076923" customWidth="1"/>
    <col min="8" max="8" width="12.9230769230769"/>
    <col min="33" max="33" width="15.1538461538462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260509</v>
      </c>
      <c r="B2">
        <v>3</v>
      </c>
      <c r="C2" t="s">
        <v>65</v>
      </c>
      <c r="D2" t="s">
        <v>66</v>
      </c>
      <c r="E2">
        <v>51</v>
      </c>
      <c r="F2" t="s">
        <v>15</v>
      </c>
      <c r="G2">
        <f>VLOOKUP(F2,选手工资!$A:$D,4,FALSE)</f>
        <v>7</v>
      </c>
      <c r="H2" t="s">
        <v>134</v>
      </c>
      <c r="I2">
        <v>2</v>
      </c>
      <c r="J2">
        <v>30</v>
      </c>
      <c r="K2">
        <v>18</v>
      </c>
      <c r="L2">
        <v>2</v>
      </c>
      <c r="M2">
        <v>23</v>
      </c>
      <c r="N2" s="2">
        <v>0.804</v>
      </c>
      <c r="O2" s="2">
        <v>0.396</v>
      </c>
      <c r="P2">
        <v>42743</v>
      </c>
      <c r="Q2">
        <v>463</v>
      </c>
      <c r="R2">
        <v>9</v>
      </c>
      <c r="S2">
        <v>784</v>
      </c>
      <c r="T2">
        <v>1179</v>
      </c>
      <c r="U2">
        <v>6</v>
      </c>
      <c r="V2">
        <v>0</v>
      </c>
      <c r="W2">
        <v>0</v>
      </c>
      <c r="X2">
        <v>72142</v>
      </c>
      <c r="Y2">
        <v>3866</v>
      </c>
      <c r="Z2">
        <v>39157</v>
      </c>
      <c r="AA2" s="2">
        <v>0.409</v>
      </c>
      <c r="AB2">
        <v>748</v>
      </c>
      <c r="AC2" s="3">
        <v>0.0840277777777778</v>
      </c>
      <c r="AD2">
        <v>10</v>
      </c>
      <c r="AE2">
        <v>4888</v>
      </c>
      <c r="AF2">
        <v>9</v>
      </c>
      <c r="AG2">
        <v>0</v>
      </c>
      <c r="AH2">
        <v>0</v>
      </c>
      <c r="AI2">
        <v>16</v>
      </c>
    </row>
    <row r="3" spans="1:35">
      <c r="A3">
        <v>260509</v>
      </c>
      <c r="B3">
        <v>3</v>
      </c>
      <c r="C3" t="s">
        <v>72</v>
      </c>
      <c r="D3" t="s">
        <v>73</v>
      </c>
      <c r="E3">
        <v>42</v>
      </c>
      <c r="F3" t="s">
        <v>5</v>
      </c>
      <c r="G3">
        <f>VLOOKUP(F3,选手工资!$A:$D,4,FALSE)</f>
        <v>8.5</v>
      </c>
      <c r="H3" t="s">
        <v>90</v>
      </c>
      <c r="I3">
        <v>2</v>
      </c>
      <c r="J3">
        <v>27</v>
      </c>
      <c r="K3">
        <v>8</v>
      </c>
      <c r="L3">
        <v>12</v>
      </c>
      <c r="M3">
        <v>21</v>
      </c>
      <c r="N3" s="2">
        <v>0.69</v>
      </c>
      <c r="O3" s="2">
        <v>0.253</v>
      </c>
      <c r="P3">
        <v>22010</v>
      </c>
      <c r="Q3">
        <v>385</v>
      </c>
      <c r="R3">
        <v>2</v>
      </c>
      <c r="S3">
        <v>529</v>
      </c>
      <c r="T3">
        <v>786</v>
      </c>
      <c r="U3">
        <v>4</v>
      </c>
      <c r="V3">
        <v>0</v>
      </c>
      <c r="W3">
        <v>0</v>
      </c>
      <c r="X3">
        <v>38582</v>
      </c>
      <c r="Y3">
        <v>12</v>
      </c>
      <c r="Z3">
        <v>81431</v>
      </c>
      <c r="AA3" s="2">
        <v>0.48</v>
      </c>
      <c r="AB3">
        <v>4616</v>
      </c>
      <c r="AC3" s="3">
        <v>0.527777777777778</v>
      </c>
      <c r="AD3">
        <v>9</v>
      </c>
      <c r="AE3">
        <v>3351</v>
      </c>
      <c r="AF3">
        <v>8</v>
      </c>
      <c r="AG3">
        <v>150</v>
      </c>
      <c r="AH3">
        <v>4</v>
      </c>
      <c r="AI3">
        <v>1</v>
      </c>
    </row>
    <row r="4" spans="1:35">
      <c r="A4">
        <v>260509</v>
      </c>
      <c r="B4">
        <v>3</v>
      </c>
      <c r="C4" t="s">
        <v>72</v>
      </c>
      <c r="D4" t="s">
        <v>73</v>
      </c>
      <c r="E4">
        <v>42</v>
      </c>
      <c r="F4" t="s">
        <v>17</v>
      </c>
      <c r="G4">
        <f>VLOOKUP(F4,选手工资!$A:$D,4,FALSE)</f>
        <v>7</v>
      </c>
      <c r="H4" t="s">
        <v>152</v>
      </c>
      <c r="I4">
        <v>1</v>
      </c>
      <c r="J4">
        <v>27</v>
      </c>
      <c r="K4">
        <v>13</v>
      </c>
      <c r="L4">
        <v>10</v>
      </c>
      <c r="M4">
        <v>18</v>
      </c>
      <c r="N4" s="2">
        <v>0.738</v>
      </c>
      <c r="O4" s="2">
        <v>0.282</v>
      </c>
      <c r="P4">
        <v>30039</v>
      </c>
      <c r="Q4">
        <v>578</v>
      </c>
      <c r="R4">
        <v>13</v>
      </c>
      <c r="S4">
        <v>652</v>
      </c>
      <c r="T4">
        <v>850</v>
      </c>
      <c r="U4">
        <v>1</v>
      </c>
      <c r="V4">
        <v>0</v>
      </c>
      <c r="W4">
        <v>0</v>
      </c>
      <c r="X4">
        <v>42895</v>
      </c>
      <c r="Y4">
        <v>0</v>
      </c>
      <c r="Z4">
        <v>77072</v>
      </c>
      <c r="AA4" s="2">
        <v>0.431</v>
      </c>
      <c r="AB4">
        <v>4113</v>
      </c>
      <c r="AC4" s="3">
        <v>0.35</v>
      </c>
      <c r="AD4">
        <v>5</v>
      </c>
      <c r="AE4">
        <v>4037</v>
      </c>
      <c r="AF4">
        <v>7</v>
      </c>
      <c r="AG4">
        <v>240</v>
      </c>
      <c r="AH4">
        <v>4</v>
      </c>
      <c r="AI4">
        <v>2</v>
      </c>
    </row>
    <row r="5" spans="1:35">
      <c r="A5">
        <v>260509</v>
      </c>
      <c r="B5">
        <v>3</v>
      </c>
      <c r="C5" t="s">
        <v>65</v>
      </c>
      <c r="D5" t="s">
        <v>66</v>
      </c>
      <c r="E5">
        <v>51</v>
      </c>
      <c r="F5" t="s">
        <v>22</v>
      </c>
      <c r="G5">
        <f>VLOOKUP(F5,选手工资!$A:$D,4,FALSE)</f>
        <v>4.5</v>
      </c>
      <c r="H5" t="s">
        <v>147</v>
      </c>
      <c r="I5">
        <v>1</v>
      </c>
      <c r="J5">
        <v>29</v>
      </c>
      <c r="K5">
        <v>13</v>
      </c>
      <c r="L5">
        <v>7</v>
      </c>
      <c r="M5">
        <v>18</v>
      </c>
      <c r="N5" s="2">
        <v>0.608</v>
      </c>
      <c r="O5" s="2">
        <v>0.206</v>
      </c>
      <c r="P5">
        <v>39533</v>
      </c>
      <c r="Q5">
        <v>546</v>
      </c>
      <c r="R5">
        <v>13</v>
      </c>
      <c r="S5">
        <v>721</v>
      </c>
      <c r="T5">
        <v>1015</v>
      </c>
      <c r="U5">
        <v>3</v>
      </c>
      <c r="V5">
        <v>0</v>
      </c>
      <c r="W5">
        <v>0</v>
      </c>
      <c r="X5">
        <v>37435</v>
      </c>
      <c r="Y5">
        <v>17539</v>
      </c>
      <c r="Z5">
        <v>49531</v>
      </c>
      <c r="AA5" s="2">
        <v>0.482</v>
      </c>
      <c r="AB5">
        <v>2692</v>
      </c>
      <c r="AC5" s="3">
        <v>0.34375</v>
      </c>
      <c r="AD5">
        <v>7</v>
      </c>
      <c r="AE5">
        <v>3629</v>
      </c>
      <c r="AF5">
        <v>6</v>
      </c>
      <c r="AG5">
        <v>0</v>
      </c>
      <c r="AH5">
        <v>2</v>
      </c>
      <c r="AI5">
        <v>0</v>
      </c>
    </row>
    <row r="6" spans="1:35">
      <c r="A6">
        <v>260509</v>
      </c>
      <c r="B6">
        <v>3</v>
      </c>
      <c r="C6" t="s">
        <v>65</v>
      </c>
      <c r="D6" t="s">
        <v>66</v>
      </c>
      <c r="E6">
        <v>51</v>
      </c>
      <c r="F6" t="s">
        <v>20</v>
      </c>
      <c r="G6">
        <f>VLOOKUP(F6,选手工资!$A:$D,4,FALSE)</f>
        <v>5.5</v>
      </c>
      <c r="H6" t="s">
        <v>143</v>
      </c>
      <c r="I6">
        <v>3</v>
      </c>
      <c r="J6">
        <v>27</v>
      </c>
      <c r="K6">
        <v>8</v>
      </c>
      <c r="L6">
        <v>13</v>
      </c>
      <c r="M6">
        <v>22</v>
      </c>
      <c r="N6" s="2">
        <v>0.588</v>
      </c>
      <c r="O6" s="2">
        <v>0.185</v>
      </c>
      <c r="P6">
        <v>24823</v>
      </c>
      <c r="Q6">
        <v>270</v>
      </c>
      <c r="R6">
        <v>4</v>
      </c>
      <c r="S6">
        <v>495</v>
      </c>
      <c r="T6">
        <v>836</v>
      </c>
      <c r="U6">
        <v>3</v>
      </c>
      <c r="V6">
        <v>0</v>
      </c>
      <c r="W6">
        <v>1</v>
      </c>
      <c r="X6">
        <v>33697</v>
      </c>
      <c r="Y6">
        <v>155</v>
      </c>
      <c r="Z6">
        <v>101700</v>
      </c>
      <c r="AA6" s="2">
        <v>0.622</v>
      </c>
      <c r="AB6">
        <v>2900</v>
      </c>
      <c r="AC6" s="3">
        <v>0.463888888888889</v>
      </c>
      <c r="AD6">
        <v>8</v>
      </c>
      <c r="AE6">
        <v>3480</v>
      </c>
      <c r="AF6">
        <v>6</v>
      </c>
      <c r="AG6">
        <v>0</v>
      </c>
      <c r="AH6">
        <v>1</v>
      </c>
      <c r="AI6">
        <v>2</v>
      </c>
    </row>
    <row r="7" spans="1:35">
      <c r="A7">
        <v>260509</v>
      </c>
      <c r="B7">
        <v>3</v>
      </c>
      <c r="C7" t="s">
        <v>72</v>
      </c>
      <c r="D7" t="s">
        <v>73</v>
      </c>
      <c r="E7">
        <v>42</v>
      </c>
      <c r="F7" t="s">
        <v>6</v>
      </c>
      <c r="G7">
        <f>VLOOKUP(F7,选手工资!$A:$D,4,FALSE)</f>
        <v>6.5</v>
      </c>
      <c r="H7" t="s">
        <v>119</v>
      </c>
      <c r="I7">
        <v>3</v>
      </c>
      <c r="J7">
        <v>27</v>
      </c>
      <c r="K7">
        <v>14</v>
      </c>
      <c r="L7">
        <v>11</v>
      </c>
      <c r="M7">
        <v>19</v>
      </c>
      <c r="N7" s="2">
        <v>0.786</v>
      </c>
      <c r="O7" s="2">
        <v>0.296</v>
      </c>
      <c r="P7">
        <v>22606</v>
      </c>
      <c r="Q7">
        <v>348</v>
      </c>
      <c r="R7">
        <v>8</v>
      </c>
      <c r="S7">
        <v>527</v>
      </c>
      <c r="T7">
        <v>873</v>
      </c>
      <c r="U7">
        <v>2</v>
      </c>
      <c r="V7">
        <v>0</v>
      </c>
      <c r="W7">
        <v>0</v>
      </c>
      <c r="X7">
        <v>45099</v>
      </c>
      <c r="Y7">
        <v>1330</v>
      </c>
      <c r="Z7">
        <v>123999</v>
      </c>
      <c r="AA7" s="2">
        <v>0.581</v>
      </c>
      <c r="AB7">
        <v>3835</v>
      </c>
      <c r="AC7" s="3">
        <v>0.399305555555556</v>
      </c>
      <c r="AD7">
        <v>2</v>
      </c>
      <c r="AE7">
        <v>3242</v>
      </c>
      <c r="AF7">
        <v>6</v>
      </c>
      <c r="AG7">
        <v>100</v>
      </c>
      <c r="AH7">
        <v>1</v>
      </c>
      <c r="AI7">
        <v>1</v>
      </c>
    </row>
    <row r="8" spans="1:35">
      <c r="A8">
        <v>260509</v>
      </c>
      <c r="B8">
        <v>3</v>
      </c>
      <c r="C8" t="s">
        <v>65</v>
      </c>
      <c r="D8" t="s">
        <v>66</v>
      </c>
      <c r="E8">
        <v>51</v>
      </c>
      <c r="F8" t="s">
        <v>10</v>
      </c>
      <c r="G8">
        <f>VLOOKUP(F8,选手工资!$A:$D,4,FALSE)</f>
        <v>7.5</v>
      </c>
      <c r="H8" t="s">
        <v>113</v>
      </c>
      <c r="I8">
        <v>5</v>
      </c>
      <c r="J8">
        <v>28</v>
      </c>
      <c r="K8">
        <v>8</v>
      </c>
      <c r="L8">
        <v>9</v>
      </c>
      <c r="M8">
        <v>27</v>
      </c>
      <c r="N8" s="2">
        <v>0.686</v>
      </c>
      <c r="O8" s="2">
        <v>0.097</v>
      </c>
      <c r="P8">
        <v>17141</v>
      </c>
      <c r="Q8">
        <v>64</v>
      </c>
      <c r="R8">
        <v>5</v>
      </c>
      <c r="S8">
        <v>391</v>
      </c>
      <c r="T8">
        <v>885</v>
      </c>
      <c r="U8">
        <v>7</v>
      </c>
      <c r="V8">
        <v>0</v>
      </c>
      <c r="W8">
        <v>0</v>
      </c>
      <c r="X8">
        <v>17728</v>
      </c>
      <c r="Y8">
        <v>1832</v>
      </c>
      <c r="Z8">
        <v>52042</v>
      </c>
      <c r="AA8" s="2">
        <v>0.435</v>
      </c>
      <c r="AB8">
        <v>1591</v>
      </c>
      <c r="AC8" s="3">
        <v>0.253472222222222</v>
      </c>
      <c r="AD8">
        <v>1</v>
      </c>
      <c r="AE8">
        <v>2820</v>
      </c>
      <c r="AF8">
        <v>6</v>
      </c>
      <c r="AG8">
        <v>1450</v>
      </c>
      <c r="AH8">
        <v>3</v>
      </c>
      <c r="AI8">
        <v>7</v>
      </c>
    </row>
    <row r="9" spans="1:35">
      <c r="A9">
        <v>260509</v>
      </c>
      <c r="B9">
        <v>3</v>
      </c>
      <c r="C9" t="s">
        <v>65</v>
      </c>
      <c r="D9" t="s">
        <v>66</v>
      </c>
      <c r="E9">
        <v>51</v>
      </c>
      <c r="F9" t="s">
        <v>24</v>
      </c>
      <c r="G9">
        <f>VLOOKUP(F9,选手工资!$A:$D,4,FALSE)</f>
        <v>4</v>
      </c>
      <c r="H9" t="s">
        <v>109</v>
      </c>
      <c r="I9">
        <v>4</v>
      </c>
      <c r="J9">
        <v>26</v>
      </c>
      <c r="K9">
        <v>4</v>
      </c>
      <c r="L9">
        <v>11</v>
      </c>
      <c r="M9">
        <v>30</v>
      </c>
      <c r="N9" s="2">
        <v>0.667</v>
      </c>
      <c r="O9" s="2">
        <v>0.116</v>
      </c>
      <c r="P9">
        <v>22115</v>
      </c>
      <c r="Q9">
        <v>165</v>
      </c>
      <c r="R9">
        <v>0</v>
      </c>
      <c r="S9">
        <v>499</v>
      </c>
      <c r="T9">
        <v>710</v>
      </c>
      <c r="U9">
        <v>2</v>
      </c>
      <c r="V9">
        <v>6192</v>
      </c>
      <c r="W9">
        <v>0</v>
      </c>
      <c r="X9">
        <v>21068</v>
      </c>
      <c r="Y9">
        <v>101</v>
      </c>
      <c r="Z9">
        <v>59369</v>
      </c>
      <c r="AA9" s="2">
        <v>0.401</v>
      </c>
      <c r="AB9">
        <v>2569</v>
      </c>
      <c r="AC9" s="3">
        <v>0.341666666666667</v>
      </c>
      <c r="AD9">
        <v>4</v>
      </c>
      <c r="AE9">
        <v>2425</v>
      </c>
      <c r="AF9">
        <v>6</v>
      </c>
      <c r="AG9">
        <v>1500</v>
      </c>
      <c r="AH9">
        <v>1</v>
      </c>
      <c r="AI9">
        <v>6</v>
      </c>
    </row>
    <row r="10" spans="1:35">
      <c r="A10">
        <v>260509</v>
      </c>
      <c r="B10">
        <v>3</v>
      </c>
      <c r="C10" t="s">
        <v>72</v>
      </c>
      <c r="D10" t="s">
        <v>73</v>
      </c>
      <c r="E10">
        <v>42</v>
      </c>
      <c r="F10" t="s">
        <v>12</v>
      </c>
      <c r="G10">
        <f>VLOOKUP(F10,选手工资!$A:$D,4,FALSE)</f>
        <v>6</v>
      </c>
      <c r="H10" t="s">
        <v>68</v>
      </c>
      <c r="I10">
        <v>4</v>
      </c>
      <c r="J10">
        <v>25</v>
      </c>
      <c r="K10">
        <v>5</v>
      </c>
      <c r="L10">
        <v>6</v>
      </c>
      <c r="M10">
        <v>27</v>
      </c>
      <c r="N10" s="2">
        <v>0.762</v>
      </c>
      <c r="O10" s="2">
        <v>0.096</v>
      </c>
      <c r="P10">
        <v>18132</v>
      </c>
      <c r="Q10">
        <v>186</v>
      </c>
      <c r="R10">
        <v>6</v>
      </c>
      <c r="S10">
        <v>393</v>
      </c>
      <c r="T10">
        <v>643</v>
      </c>
      <c r="U10">
        <v>0</v>
      </c>
      <c r="V10">
        <v>1221</v>
      </c>
      <c r="W10">
        <v>0</v>
      </c>
      <c r="X10">
        <v>14568</v>
      </c>
      <c r="Y10">
        <v>85</v>
      </c>
      <c r="Z10">
        <v>40454</v>
      </c>
      <c r="AA10" s="2">
        <v>0.539</v>
      </c>
      <c r="AB10">
        <v>1276</v>
      </c>
      <c r="AC10" s="3">
        <v>0.159027777777778</v>
      </c>
      <c r="AD10">
        <v>6</v>
      </c>
      <c r="AE10">
        <v>2544</v>
      </c>
      <c r="AF10">
        <v>5</v>
      </c>
      <c r="AG10">
        <v>2080</v>
      </c>
      <c r="AH10">
        <v>2</v>
      </c>
      <c r="AI10">
        <v>6</v>
      </c>
    </row>
    <row r="11" spans="1:35">
      <c r="A11">
        <v>260509</v>
      </c>
      <c r="B11">
        <v>3</v>
      </c>
      <c r="C11" t="s">
        <v>72</v>
      </c>
      <c r="D11" t="s">
        <v>73</v>
      </c>
      <c r="E11">
        <v>42</v>
      </c>
      <c r="F11" t="s">
        <v>31</v>
      </c>
      <c r="G11">
        <f>VLOOKUP(F11,选手工资!$A:$D,4,FALSE)</f>
        <v>1.5</v>
      </c>
      <c r="H11" t="s">
        <v>102</v>
      </c>
      <c r="I11">
        <v>5</v>
      </c>
      <c r="J11">
        <v>24</v>
      </c>
      <c r="K11">
        <v>2</v>
      </c>
      <c r="L11">
        <v>13</v>
      </c>
      <c r="M11">
        <v>22</v>
      </c>
      <c r="N11" s="2">
        <v>0.571</v>
      </c>
      <c r="O11" s="2">
        <v>0.073</v>
      </c>
      <c r="P11">
        <v>13420</v>
      </c>
      <c r="Q11">
        <v>43</v>
      </c>
      <c r="R11">
        <v>1</v>
      </c>
      <c r="S11">
        <v>284</v>
      </c>
      <c r="T11">
        <v>559</v>
      </c>
      <c r="U11">
        <v>2</v>
      </c>
      <c r="V11">
        <v>0</v>
      </c>
      <c r="W11">
        <v>0</v>
      </c>
      <c r="X11">
        <v>11085</v>
      </c>
      <c r="Y11">
        <v>0</v>
      </c>
      <c r="Z11">
        <v>44485</v>
      </c>
      <c r="AA11" s="2">
        <v>0.442</v>
      </c>
      <c r="AB11">
        <v>1315</v>
      </c>
      <c r="AC11" s="3">
        <v>0.329861111111111</v>
      </c>
      <c r="AD11">
        <v>3</v>
      </c>
      <c r="AE11">
        <v>1629</v>
      </c>
      <c r="AF11">
        <v>3</v>
      </c>
      <c r="AG11">
        <v>1210</v>
      </c>
      <c r="AH11">
        <v>7</v>
      </c>
      <c r="AI11">
        <v>11</v>
      </c>
    </row>
    <row r="14" spans="1:35">
      <c r="A14" s="1" t="s">
        <v>79</v>
      </c>
      <c r="B14" s="4">
        <v>8804194377</v>
      </c>
      <c r="C14" s="4"/>
    </row>
    <row r="15" spans="1:35">
      <c r="A15" s="1" t="s">
        <v>80</v>
      </c>
      <c r="B15" s="5" t="s">
        <v>153</v>
      </c>
    </row>
  </sheetData>
  <sortState ref="A2:AI11">
    <sortCondition ref="AF2" descending="1"/>
  </sortState>
  <mergeCells count="1">
    <mergeCell ref="B14:C1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opLeftCell="P1" workbookViewId="0">
      <selection activeCell="AG1" sqref="AG$1:AI$1048576"/>
    </sheetView>
  </sheetViews>
  <sheetFormatPr defaultColWidth="9.23076923076923" defaultRowHeight="16.8"/>
  <cols>
    <col min="6" max="6" width="12.9230769230769"/>
    <col min="7" max="7" width="10.3076923076923" customWidth="1"/>
    <col min="8" max="9" width="12.9230769230769"/>
    <col min="26" max="26" width="12.7692307692308" customWidth="1"/>
    <col min="28" max="28" width="15.1538461538462" customWidth="1"/>
    <col min="32" max="32" width="12.5384615384615" customWidth="1"/>
    <col min="33" max="33" width="15.1538461538462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260510</v>
      </c>
      <c r="B2">
        <v>1</v>
      </c>
      <c r="C2" t="s">
        <v>72</v>
      </c>
      <c r="D2" t="s">
        <v>66</v>
      </c>
      <c r="E2">
        <v>44</v>
      </c>
      <c r="F2" t="s">
        <v>5</v>
      </c>
      <c r="G2">
        <f>VLOOKUP(F2,选手工资!$A:$E,5,FALSE)</f>
        <v>7.5</v>
      </c>
      <c r="H2" t="s">
        <v>154</v>
      </c>
      <c r="I2">
        <v>2</v>
      </c>
      <c r="J2">
        <v>21</v>
      </c>
      <c r="K2">
        <v>10</v>
      </c>
      <c r="L2">
        <v>0</v>
      </c>
      <c r="M2">
        <v>17</v>
      </c>
      <c r="N2" s="2">
        <v>0.614</v>
      </c>
      <c r="O2" s="2">
        <v>0.276</v>
      </c>
      <c r="P2">
        <v>17308</v>
      </c>
      <c r="Q2">
        <v>221</v>
      </c>
      <c r="R2">
        <v>6</v>
      </c>
      <c r="S2">
        <v>592</v>
      </c>
      <c r="T2">
        <v>807</v>
      </c>
      <c r="U2">
        <v>4</v>
      </c>
      <c r="V2">
        <v>37</v>
      </c>
      <c r="W2">
        <v>0</v>
      </c>
      <c r="X2">
        <v>26578</v>
      </c>
      <c r="Y2">
        <v>856</v>
      </c>
      <c r="Z2">
        <v>44276</v>
      </c>
      <c r="AA2" s="2">
        <v>0.582</v>
      </c>
      <c r="AB2">
        <v>0</v>
      </c>
      <c r="AC2" s="3">
        <v>0</v>
      </c>
      <c r="AD2">
        <v>9</v>
      </c>
      <c r="AE2">
        <v>4283</v>
      </c>
      <c r="AF2">
        <v>9</v>
      </c>
      <c r="AG2">
        <v>100</v>
      </c>
      <c r="AH2">
        <v>0</v>
      </c>
      <c r="AI2">
        <v>1</v>
      </c>
    </row>
    <row r="3" spans="1:35">
      <c r="A3">
        <v>260510</v>
      </c>
      <c r="B3">
        <v>1</v>
      </c>
      <c r="C3" t="s">
        <v>72</v>
      </c>
      <c r="D3" t="s">
        <v>66</v>
      </c>
      <c r="E3">
        <v>44</v>
      </c>
      <c r="F3" t="s">
        <v>14</v>
      </c>
      <c r="G3">
        <f>VLOOKUP(F3,选手工资!$A:$E,5,FALSE)</f>
        <v>5</v>
      </c>
      <c r="H3" t="s">
        <v>155</v>
      </c>
      <c r="I3">
        <v>1</v>
      </c>
      <c r="J3">
        <v>22</v>
      </c>
      <c r="K3">
        <v>13</v>
      </c>
      <c r="L3">
        <v>3</v>
      </c>
      <c r="M3">
        <v>13</v>
      </c>
      <c r="N3" s="2">
        <v>0.591</v>
      </c>
      <c r="O3" s="2">
        <v>0.228</v>
      </c>
      <c r="P3">
        <v>17144</v>
      </c>
      <c r="Q3">
        <v>185</v>
      </c>
      <c r="R3">
        <v>14</v>
      </c>
      <c r="S3">
        <v>585</v>
      </c>
      <c r="T3">
        <v>943</v>
      </c>
      <c r="U3">
        <v>0</v>
      </c>
      <c r="V3">
        <v>0</v>
      </c>
      <c r="W3">
        <v>0</v>
      </c>
      <c r="X3">
        <v>21922</v>
      </c>
      <c r="Y3">
        <v>1288</v>
      </c>
      <c r="Z3">
        <v>19192</v>
      </c>
      <c r="AA3" s="2">
        <v>0.391</v>
      </c>
      <c r="AB3">
        <v>502</v>
      </c>
      <c r="AC3" s="3">
        <v>0.0923611111111111</v>
      </c>
      <c r="AD3">
        <v>5</v>
      </c>
      <c r="AE3">
        <v>4393</v>
      </c>
      <c r="AF3">
        <v>7</v>
      </c>
      <c r="AG3">
        <v>0</v>
      </c>
      <c r="AH3">
        <v>0</v>
      </c>
      <c r="AI3">
        <v>0</v>
      </c>
    </row>
    <row r="4" spans="1:35">
      <c r="A4">
        <v>260510</v>
      </c>
      <c r="B4">
        <v>1</v>
      </c>
      <c r="C4" t="s">
        <v>72</v>
      </c>
      <c r="D4" t="s">
        <v>66</v>
      </c>
      <c r="E4">
        <v>44</v>
      </c>
      <c r="F4" t="s">
        <v>16</v>
      </c>
      <c r="G4">
        <f>VLOOKUP(F4,选手工资!$A:$E,5,FALSE)</f>
        <v>5</v>
      </c>
      <c r="H4" t="s">
        <v>156</v>
      </c>
      <c r="I4">
        <v>4</v>
      </c>
      <c r="J4">
        <v>18</v>
      </c>
      <c r="K4">
        <v>8</v>
      </c>
      <c r="L4">
        <v>7</v>
      </c>
      <c r="M4">
        <v>22</v>
      </c>
      <c r="N4" s="2">
        <v>0.682</v>
      </c>
      <c r="O4" s="2">
        <v>0.23</v>
      </c>
      <c r="P4">
        <v>12005</v>
      </c>
      <c r="Q4">
        <v>81</v>
      </c>
      <c r="R4">
        <v>3</v>
      </c>
      <c r="S4">
        <v>419</v>
      </c>
      <c r="T4">
        <v>609</v>
      </c>
      <c r="U4">
        <v>1</v>
      </c>
      <c r="V4">
        <v>5810</v>
      </c>
      <c r="W4">
        <v>1</v>
      </c>
      <c r="X4">
        <v>22187</v>
      </c>
      <c r="Y4">
        <v>3669</v>
      </c>
      <c r="Z4">
        <v>27796</v>
      </c>
      <c r="AA4" s="2">
        <v>0.399</v>
      </c>
      <c r="AB4">
        <v>517</v>
      </c>
      <c r="AC4" s="3">
        <v>0.132638888888889</v>
      </c>
      <c r="AD4">
        <v>6</v>
      </c>
      <c r="AE4">
        <v>2416</v>
      </c>
      <c r="AF4">
        <v>6</v>
      </c>
      <c r="AG4">
        <v>400</v>
      </c>
      <c r="AH4">
        <v>1</v>
      </c>
      <c r="AI4">
        <v>6</v>
      </c>
    </row>
    <row r="5" spans="1:35">
      <c r="A5">
        <v>260510</v>
      </c>
      <c r="B5">
        <v>1</v>
      </c>
      <c r="C5" t="s">
        <v>72</v>
      </c>
      <c r="D5" t="s">
        <v>66</v>
      </c>
      <c r="E5">
        <v>44</v>
      </c>
      <c r="F5" t="s">
        <v>20</v>
      </c>
      <c r="G5">
        <f>VLOOKUP(F5,选手工资!$A:$E,5,FALSE)</f>
        <v>6.5</v>
      </c>
      <c r="H5" t="s">
        <v>143</v>
      </c>
      <c r="I5">
        <v>3</v>
      </c>
      <c r="J5">
        <v>17</v>
      </c>
      <c r="K5">
        <v>11</v>
      </c>
      <c r="L5">
        <v>4</v>
      </c>
      <c r="M5">
        <v>15</v>
      </c>
      <c r="N5" s="2">
        <v>0.591</v>
      </c>
      <c r="O5" s="2">
        <v>0.141</v>
      </c>
      <c r="P5">
        <v>14709</v>
      </c>
      <c r="Q5">
        <v>179</v>
      </c>
      <c r="R5">
        <v>1</v>
      </c>
      <c r="S5">
        <v>500</v>
      </c>
      <c r="T5">
        <v>565</v>
      </c>
      <c r="U5">
        <v>3</v>
      </c>
      <c r="V5">
        <v>0</v>
      </c>
      <c r="W5">
        <v>0</v>
      </c>
      <c r="X5">
        <v>13627</v>
      </c>
      <c r="Y5">
        <v>1242</v>
      </c>
      <c r="Z5">
        <v>36186</v>
      </c>
      <c r="AA5" s="2">
        <v>0.404</v>
      </c>
      <c r="AB5">
        <v>597</v>
      </c>
      <c r="AC5" s="3">
        <v>0.0888888888888889</v>
      </c>
      <c r="AD5">
        <v>1</v>
      </c>
      <c r="AE5">
        <v>3689</v>
      </c>
      <c r="AF5">
        <v>5</v>
      </c>
      <c r="AG5">
        <v>0</v>
      </c>
      <c r="AH5">
        <v>0</v>
      </c>
      <c r="AI5">
        <v>0</v>
      </c>
    </row>
    <row r="6" spans="1:35">
      <c r="A6">
        <v>260510</v>
      </c>
      <c r="B6">
        <v>1</v>
      </c>
      <c r="C6" t="s">
        <v>72</v>
      </c>
      <c r="D6" t="s">
        <v>66</v>
      </c>
      <c r="E6">
        <v>44</v>
      </c>
      <c r="F6" t="s">
        <v>31</v>
      </c>
      <c r="G6">
        <f>VLOOKUP(F6,选手工资!$A:$E,5,FALSE)</f>
        <v>2.5</v>
      </c>
      <c r="H6" t="s">
        <v>84</v>
      </c>
      <c r="I6">
        <v>5</v>
      </c>
      <c r="J6">
        <v>15</v>
      </c>
      <c r="K6">
        <v>2</v>
      </c>
      <c r="L6">
        <v>2</v>
      </c>
      <c r="M6">
        <v>25</v>
      </c>
      <c r="N6" s="2">
        <v>0.614</v>
      </c>
      <c r="O6" s="2">
        <v>0.125</v>
      </c>
      <c r="P6">
        <v>8548</v>
      </c>
      <c r="Q6">
        <v>47</v>
      </c>
      <c r="R6">
        <v>0</v>
      </c>
      <c r="S6">
        <v>294</v>
      </c>
      <c r="T6">
        <v>435</v>
      </c>
      <c r="U6">
        <v>3</v>
      </c>
      <c r="V6">
        <v>1164</v>
      </c>
      <c r="W6">
        <v>1</v>
      </c>
      <c r="X6">
        <v>12013</v>
      </c>
      <c r="Y6">
        <v>337</v>
      </c>
      <c r="Z6">
        <v>11634</v>
      </c>
      <c r="AA6" s="2">
        <v>0.329</v>
      </c>
      <c r="AB6">
        <v>134</v>
      </c>
      <c r="AC6" s="3">
        <v>0.0347222222222222</v>
      </c>
      <c r="AD6">
        <v>2</v>
      </c>
      <c r="AE6">
        <v>2021</v>
      </c>
      <c r="AF6">
        <v>5</v>
      </c>
      <c r="AG6">
        <v>200</v>
      </c>
      <c r="AH6">
        <v>2</v>
      </c>
      <c r="AI6">
        <v>1</v>
      </c>
    </row>
    <row r="7" spans="1:35">
      <c r="A7">
        <v>260510</v>
      </c>
      <c r="B7">
        <v>1</v>
      </c>
      <c r="C7" t="s">
        <v>65</v>
      </c>
      <c r="D7" t="s">
        <v>73</v>
      </c>
      <c r="E7">
        <v>16</v>
      </c>
      <c r="F7" t="s">
        <v>25</v>
      </c>
      <c r="G7">
        <f>VLOOKUP(F7,选手工资!$A:$E,5,FALSE)</f>
        <v>3.5</v>
      </c>
      <c r="H7" t="s">
        <v>134</v>
      </c>
      <c r="I7">
        <v>4</v>
      </c>
      <c r="J7">
        <v>11</v>
      </c>
      <c r="K7">
        <v>4</v>
      </c>
      <c r="L7">
        <v>9</v>
      </c>
      <c r="M7">
        <v>7</v>
      </c>
      <c r="N7" s="2">
        <v>0.688</v>
      </c>
      <c r="O7" s="2">
        <v>0.23</v>
      </c>
      <c r="P7">
        <v>5805</v>
      </c>
      <c r="Q7">
        <v>14</v>
      </c>
      <c r="R7">
        <v>4</v>
      </c>
      <c r="S7">
        <v>230</v>
      </c>
      <c r="T7">
        <v>271</v>
      </c>
      <c r="U7">
        <v>0</v>
      </c>
      <c r="V7">
        <v>0</v>
      </c>
      <c r="W7">
        <v>0</v>
      </c>
      <c r="X7">
        <v>17819</v>
      </c>
      <c r="Y7">
        <v>0</v>
      </c>
      <c r="Z7">
        <v>20481</v>
      </c>
      <c r="AA7" s="2">
        <v>0.274</v>
      </c>
      <c r="AB7">
        <v>623</v>
      </c>
      <c r="AC7" s="3">
        <v>0.185416666666667</v>
      </c>
      <c r="AD7">
        <v>3</v>
      </c>
      <c r="AE7">
        <v>1470</v>
      </c>
      <c r="AF7">
        <v>8</v>
      </c>
      <c r="AG7">
        <v>350</v>
      </c>
      <c r="AH7">
        <v>2</v>
      </c>
      <c r="AI7">
        <v>3</v>
      </c>
    </row>
    <row r="8" spans="1:35">
      <c r="A8">
        <v>260510</v>
      </c>
      <c r="B8">
        <v>1</v>
      </c>
      <c r="C8" t="s">
        <v>65</v>
      </c>
      <c r="D8" t="s">
        <v>73</v>
      </c>
      <c r="E8">
        <v>16</v>
      </c>
      <c r="F8" t="s">
        <v>15</v>
      </c>
      <c r="G8">
        <f>VLOOKUP(F8,选手工资!$A:$E,5,FALSE)</f>
        <v>8</v>
      </c>
      <c r="H8" t="s">
        <v>85</v>
      </c>
      <c r="I8">
        <v>1</v>
      </c>
      <c r="J8">
        <v>16</v>
      </c>
      <c r="K8">
        <v>6</v>
      </c>
      <c r="L8">
        <v>7</v>
      </c>
      <c r="M8">
        <v>6</v>
      </c>
      <c r="N8" s="2">
        <v>0.75</v>
      </c>
      <c r="O8" s="2">
        <v>0.281</v>
      </c>
      <c r="P8">
        <v>11540</v>
      </c>
      <c r="Q8">
        <v>174</v>
      </c>
      <c r="R8">
        <v>20</v>
      </c>
      <c r="S8">
        <v>418</v>
      </c>
      <c r="T8">
        <v>470</v>
      </c>
      <c r="U8">
        <v>1</v>
      </c>
      <c r="V8">
        <v>2465</v>
      </c>
      <c r="W8">
        <v>0</v>
      </c>
      <c r="X8">
        <v>21751</v>
      </c>
      <c r="Y8">
        <v>0</v>
      </c>
      <c r="Z8">
        <v>33833</v>
      </c>
      <c r="AA8" s="2">
        <v>0.332</v>
      </c>
      <c r="AB8">
        <v>1117</v>
      </c>
      <c r="AC8" s="3">
        <v>0.186805555555556</v>
      </c>
      <c r="AD8">
        <v>7</v>
      </c>
      <c r="AE8">
        <v>4398</v>
      </c>
      <c r="AF8">
        <v>7</v>
      </c>
      <c r="AG8">
        <v>0</v>
      </c>
      <c r="AH8">
        <v>0</v>
      </c>
      <c r="AI8">
        <v>1</v>
      </c>
    </row>
    <row r="9" spans="1:35">
      <c r="A9">
        <v>260510</v>
      </c>
      <c r="B9">
        <v>1</v>
      </c>
      <c r="C9" t="s">
        <v>65</v>
      </c>
      <c r="D9" t="s">
        <v>73</v>
      </c>
      <c r="E9">
        <v>16</v>
      </c>
      <c r="F9" t="s">
        <v>9</v>
      </c>
      <c r="G9">
        <f>VLOOKUP(F9,选手工资!$A:$E,5,FALSE)</f>
        <v>8.5</v>
      </c>
      <c r="H9" t="s">
        <v>74</v>
      </c>
      <c r="I9">
        <v>2</v>
      </c>
      <c r="J9">
        <v>16</v>
      </c>
      <c r="K9">
        <v>2</v>
      </c>
      <c r="L9">
        <v>7</v>
      </c>
      <c r="M9">
        <v>8</v>
      </c>
      <c r="N9" s="2">
        <v>0.625</v>
      </c>
      <c r="O9" s="2">
        <v>0.189</v>
      </c>
      <c r="P9">
        <v>11120</v>
      </c>
      <c r="Q9">
        <v>156</v>
      </c>
      <c r="R9">
        <v>3</v>
      </c>
      <c r="S9">
        <v>401</v>
      </c>
      <c r="T9">
        <v>483</v>
      </c>
      <c r="U9">
        <v>1</v>
      </c>
      <c r="V9">
        <v>0</v>
      </c>
      <c r="W9">
        <v>0</v>
      </c>
      <c r="X9">
        <v>14625</v>
      </c>
      <c r="Y9">
        <v>0</v>
      </c>
      <c r="Z9">
        <v>41667</v>
      </c>
      <c r="AA9" s="2">
        <v>0.482</v>
      </c>
      <c r="AB9">
        <v>1215</v>
      </c>
      <c r="AC9" s="3">
        <v>0.190277777777778</v>
      </c>
      <c r="AD9">
        <v>10</v>
      </c>
      <c r="AE9">
        <v>4356</v>
      </c>
      <c r="AF9">
        <v>7</v>
      </c>
      <c r="AG9">
        <v>50</v>
      </c>
      <c r="AH9">
        <v>0</v>
      </c>
      <c r="AI9">
        <v>1</v>
      </c>
    </row>
    <row r="10" spans="1:35">
      <c r="A10">
        <v>260510</v>
      </c>
      <c r="B10">
        <v>1</v>
      </c>
      <c r="C10" t="s">
        <v>65</v>
      </c>
      <c r="D10" t="s">
        <v>73</v>
      </c>
      <c r="E10">
        <v>16</v>
      </c>
      <c r="F10" t="s">
        <v>19</v>
      </c>
      <c r="G10">
        <f>VLOOKUP(F10,选手工资!$A:$E,5,FALSE)</f>
        <v>5.5</v>
      </c>
      <c r="H10" t="s">
        <v>86</v>
      </c>
      <c r="I10">
        <v>3</v>
      </c>
      <c r="J10">
        <v>15</v>
      </c>
      <c r="K10">
        <v>3</v>
      </c>
      <c r="L10">
        <v>9</v>
      </c>
      <c r="M10">
        <v>6</v>
      </c>
      <c r="N10" s="2">
        <v>0.563</v>
      </c>
      <c r="O10" s="2">
        <v>0.18</v>
      </c>
      <c r="P10">
        <v>10390</v>
      </c>
      <c r="Q10">
        <v>162</v>
      </c>
      <c r="R10">
        <v>5</v>
      </c>
      <c r="S10">
        <v>370</v>
      </c>
      <c r="T10">
        <v>420</v>
      </c>
      <c r="U10">
        <v>1</v>
      </c>
      <c r="V10">
        <v>0</v>
      </c>
      <c r="W10">
        <v>0</v>
      </c>
      <c r="X10">
        <v>13909</v>
      </c>
      <c r="Y10">
        <v>0</v>
      </c>
      <c r="Z10">
        <v>47526</v>
      </c>
      <c r="AA10" s="2">
        <v>0.476</v>
      </c>
      <c r="AB10">
        <v>865</v>
      </c>
      <c r="AC10" s="3">
        <v>0.208333333333333</v>
      </c>
      <c r="AD10">
        <v>8</v>
      </c>
      <c r="AE10">
        <v>3864</v>
      </c>
      <c r="AF10">
        <v>6</v>
      </c>
      <c r="AG10">
        <v>0</v>
      </c>
      <c r="AH10">
        <v>1</v>
      </c>
      <c r="AI10">
        <v>0</v>
      </c>
    </row>
    <row r="11" spans="1:35">
      <c r="A11">
        <v>260510</v>
      </c>
      <c r="B11">
        <v>1</v>
      </c>
      <c r="C11" t="s">
        <v>65</v>
      </c>
      <c r="D11" t="s">
        <v>73</v>
      </c>
      <c r="E11">
        <v>16</v>
      </c>
      <c r="F11" t="s">
        <v>27</v>
      </c>
      <c r="G11">
        <f>VLOOKUP(F11,选手工资!$A:$E,5,FALSE)</f>
        <v>1.5</v>
      </c>
      <c r="H11" t="s">
        <v>68</v>
      </c>
      <c r="I11">
        <v>5</v>
      </c>
      <c r="J11">
        <v>9</v>
      </c>
      <c r="K11">
        <v>1</v>
      </c>
      <c r="L11">
        <v>12</v>
      </c>
      <c r="M11">
        <v>7</v>
      </c>
      <c r="N11" s="2">
        <v>0.5</v>
      </c>
      <c r="O11" s="2">
        <v>0.119</v>
      </c>
      <c r="P11">
        <v>4287</v>
      </c>
      <c r="Q11">
        <v>20</v>
      </c>
      <c r="R11">
        <v>0</v>
      </c>
      <c r="S11">
        <v>187</v>
      </c>
      <c r="T11">
        <v>193</v>
      </c>
      <c r="U11">
        <v>1</v>
      </c>
      <c r="V11">
        <v>0</v>
      </c>
      <c r="W11">
        <v>0</v>
      </c>
      <c r="X11">
        <v>9213</v>
      </c>
      <c r="Y11">
        <v>0</v>
      </c>
      <c r="Z11">
        <v>16146</v>
      </c>
      <c r="AA11" s="2">
        <v>0.294</v>
      </c>
      <c r="AB11">
        <v>297</v>
      </c>
      <c r="AC11" s="3">
        <v>0.215972222222222</v>
      </c>
      <c r="AD11">
        <v>4</v>
      </c>
      <c r="AE11">
        <v>1379</v>
      </c>
      <c r="AF11">
        <v>4</v>
      </c>
      <c r="AG11">
        <v>800</v>
      </c>
      <c r="AH11">
        <v>3</v>
      </c>
      <c r="AI11">
        <v>2</v>
      </c>
    </row>
    <row r="14" spans="1:35">
      <c r="A14" s="1" t="s">
        <v>79</v>
      </c>
      <c r="B14" s="4">
        <v>8805520036</v>
      </c>
      <c r="C14" s="4"/>
    </row>
    <row r="15" spans="1:35">
      <c r="A15" s="1" t="s">
        <v>80</v>
      </c>
      <c r="B15" s="5" t="s">
        <v>157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pane xSplit="8" ySplit="1" topLeftCell="AA2" activePane="bottomRight" state="frozen"/>
      <selection/>
      <selection pane="topRight"/>
      <selection pane="bottomLeft"/>
      <selection pane="bottomRight" activeCell="AG1" sqref="AG$1:AI$1048576"/>
    </sheetView>
  </sheetViews>
  <sheetFormatPr defaultColWidth="9.23076923076923" defaultRowHeight="16.8"/>
  <cols>
    <col min="6" max="6" width="12.9230769230769" customWidth="1"/>
    <col min="7" max="7" width="10.3076923076923" customWidth="1"/>
    <col min="9" max="9" width="12.9230769230769"/>
    <col min="33" max="33" width="15.1538461538462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260510</v>
      </c>
      <c r="B2">
        <v>2</v>
      </c>
      <c r="C2" t="s">
        <v>72</v>
      </c>
      <c r="D2" t="s">
        <v>66</v>
      </c>
      <c r="E2">
        <v>50</v>
      </c>
      <c r="F2" t="s">
        <v>5</v>
      </c>
      <c r="G2">
        <f>VLOOKUP(F2,选手工资!$A:$E,5,FALSE)</f>
        <v>7.5</v>
      </c>
      <c r="H2" t="s">
        <v>118</v>
      </c>
      <c r="I2">
        <v>2</v>
      </c>
      <c r="J2">
        <v>24</v>
      </c>
      <c r="K2">
        <v>10</v>
      </c>
      <c r="L2">
        <v>3</v>
      </c>
      <c r="M2">
        <v>21</v>
      </c>
      <c r="N2" s="2">
        <v>0.62</v>
      </c>
      <c r="O2" s="2">
        <v>0.266</v>
      </c>
      <c r="P2">
        <v>20000</v>
      </c>
      <c r="Q2">
        <v>255</v>
      </c>
      <c r="R2">
        <v>4</v>
      </c>
      <c r="S2">
        <v>599</v>
      </c>
      <c r="T2">
        <v>950</v>
      </c>
      <c r="U2">
        <v>4</v>
      </c>
      <c r="V2">
        <v>106</v>
      </c>
      <c r="W2">
        <v>0</v>
      </c>
      <c r="X2">
        <v>35219</v>
      </c>
      <c r="Y2">
        <v>5119</v>
      </c>
      <c r="Z2">
        <v>27058</v>
      </c>
      <c r="AA2" s="2">
        <v>0.377</v>
      </c>
      <c r="AB2">
        <v>384</v>
      </c>
      <c r="AC2" s="3">
        <v>0.0729166666666667</v>
      </c>
      <c r="AD2">
        <v>6</v>
      </c>
      <c r="AE2">
        <v>3779</v>
      </c>
      <c r="AF2">
        <v>8</v>
      </c>
      <c r="AG2">
        <v>100</v>
      </c>
      <c r="AH2">
        <v>1</v>
      </c>
      <c r="AI2">
        <v>2</v>
      </c>
    </row>
    <row r="3" spans="1:35">
      <c r="A3">
        <v>260510</v>
      </c>
      <c r="B3">
        <v>2</v>
      </c>
      <c r="C3" t="s">
        <v>72</v>
      </c>
      <c r="D3" t="s">
        <v>66</v>
      </c>
      <c r="E3">
        <v>50</v>
      </c>
      <c r="F3" t="s">
        <v>19</v>
      </c>
      <c r="G3">
        <f>VLOOKUP(F3,选手工资!$A:$E,5,FALSE)</f>
        <v>5.5</v>
      </c>
      <c r="H3" t="s">
        <v>108</v>
      </c>
      <c r="I3">
        <v>1</v>
      </c>
      <c r="J3">
        <v>25</v>
      </c>
      <c r="K3">
        <v>14</v>
      </c>
      <c r="L3">
        <v>2</v>
      </c>
      <c r="M3">
        <v>18</v>
      </c>
      <c r="N3" s="2">
        <v>0.64</v>
      </c>
      <c r="O3" s="2">
        <v>0.25</v>
      </c>
      <c r="P3">
        <v>23786</v>
      </c>
      <c r="Q3">
        <v>318</v>
      </c>
      <c r="R3">
        <v>4</v>
      </c>
      <c r="S3">
        <v>697</v>
      </c>
      <c r="T3">
        <v>1116</v>
      </c>
      <c r="U3">
        <v>0</v>
      </c>
      <c r="V3">
        <v>0</v>
      </c>
      <c r="W3">
        <v>0</v>
      </c>
      <c r="X3">
        <v>33135</v>
      </c>
      <c r="Y3">
        <v>7705</v>
      </c>
      <c r="Z3">
        <v>49957</v>
      </c>
      <c r="AA3" s="2">
        <v>0.417</v>
      </c>
      <c r="AB3">
        <v>194</v>
      </c>
      <c r="AC3" s="3">
        <v>0.0375</v>
      </c>
      <c r="AD3">
        <v>2</v>
      </c>
      <c r="AE3">
        <v>3938</v>
      </c>
      <c r="AF3">
        <v>7</v>
      </c>
      <c r="AG3">
        <v>0</v>
      </c>
      <c r="AH3">
        <v>0</v>
      </c>
      <c r="AI3">
        <v>0</v>
      </c>
    </row>
    <row r="4" spans="1:35">
      <c r="A4">
        <v>260510</v>
      </c>
      <c r="B4">
        <v>2</v>
      </c>
      <c r="C4" t="s">
        <v>72</v>
      </c>
      <c r="D4" t="s">
        <v>66</v>
      </c>
      <c r="E4">
        <v>50</v>
      </c>
      <c r="F4" t="s">
        <v>15</v>
      </c>
      <c r="G4">
        <f>VLOOKUP(F4,选手工资!$A:$E,5,FALSE)</f>
        <v>8</v>
      </c>
      <c r="H4" t="s">
        <v>69</v>
      </c>
      <c r="I4">
        <v>3</v>
      </c>
      <c r="J4">
        <v>23</v>
      </c>
      <c r="K4">
        <v>9</v>
      </c>
      <c r="L4">
        <v>4</v>
      </c>
      <c r="M4">
        <v>20</v>
      </c>
      <c r="N4" s="2">
        <v>0.58</v>
      </c>
      <c r="O4" s="2">
        <v>0.214</v>
      </c>
      <c r="P4">
        <v>20020</v>
      </c>
      <c r="Q4">
        <v>342</v>
      </c>
      <c r="R4">
        <v>9</v>
      </c>
      <c r="S4">
        <v>607</v>
      </c>
      <c r="T4">
        <v>885</v>
      </c>
      <c r="U4">
        <v>2</v>
      </c>
      <c r="V4">
        <v>8933</v>
      </c>
      <c r="W4">
        <v>0</v>
      </c>
      <c r="X4">
        <v>28291</v>
      </c>
      <c r="Y4">
        <v>5148</v>
      </c>
      <c r="Z4">
        <v>49025</v>
      </c>
      <c r="AA4" s="2">
        <v>0.477</v>
      </c>
      <c r="AB4">
        <v>743</v>
      </c>
      <c r="AC4" s="3">
        <v>0.110416666666667</v>
      </c>
      <c r="AD4">
        <v>5</v>
      </c>
      <c r="AE4">
        <v>4073</v>
      </c>
      <c r="AF4">
        <v>6</v>
      </c>
      <c r="AG4">
        <v>0</v>
      </c>
      <c r="AH4">
        <v>0</v>
      </c>
      <c r="AI4">
        <v>0</v>
      </c>
    </row>
    <row r="5" spans="1:35">
      <c r="A5">
        <v>260510</v>
      </c>
      <c r="B5">
        <v>2</v>
      </c>
      <c r="C5" t="s">
        <v>72</v>
      </c>
      <c r="D5" t="s">
        <v>66</v>
      </c>
      <c r="E5">
        <v>50</v>
      </c>
      <c r="F5" t="s">
        <v>30</v>
      </c>
      <c r="G5">
        <f>VLOOKUP(F5,选手工资!$A:$E,5,FALSE)</f>
        <v>2</v>
      </c>
      <c r="H5" t="s">
        <v>158</v>
      </c>
      <c r="I5">
        <v>5</v>
      </c>
      <c r="J5">
        <v>17</v>
      </c>
      <c r="K5">
        <v>10</v>
      </c>
      <c r="L5">
        <v>10</v>
      </c>
      <c r="M5">
        <v>18</v>
      </c>
      <c r="N5" s="2">
        <v>0.56</v>
      </c>
      <c r="O5" s="2">
        <v>0.164</v>
      </c>
      <c r="P5">
        <v>10373</v>
      </c>
      <c r="Q5">
        <v>38</v>
      </c>
      <c r="R5">
        <v>6</v>
      </c>
      <c r="S5">
        <v>338</v>
      </c>
      <c r="T5">
        <v>461</v>
      </c>
      <c r="U5">
        <v>3</v>
      </c>
      <c r="V5">
        <v>5252</v>
      </c>
      <c r="W5">
        <v>0</v>
      </c>
      <c r="X5">
        <v>21692</v>
      </c>
      <c r="Y5">
        <v>830</v>
      </c>
      <c r="Z5">
        <v>28779</v>
      </c>
      <c r="AA5" s="2">
        <v>0.299</v>
      </c>
      <c r="AB5">
        <v>1244</v>
      </c>
      <c r="AC5" s="3">
        <v>0.252777777777778</v>
      </c>
      <c r="AD5">
        <v>9</v>
      </c>
      <c r="AE5">
        <v>3124</v>
      </c>
      <c r="AF5">
        <v>6</v>
      </c>
      <c r="AG5">
        <v>300</v>
      </c>
      <c r="AH5">
        <v>1</v>
      </c>
      <c r="AI5">
        <v>7</v>
      </c>
    </row>
    <row r="6" spans="1:35">
      <c r="A6">
        <v>260510</v>
      </c>
      <c r="B6">
        <v>2</v>
      </c>
      <c r="C6" t="s">
        <v>72</v>
      </c>
      <c r="D6" t="s">
        <v>66</v>
      </c>
      <c r="E6">
        <v>50</v>
      </c>
      <c r="F6" t="s">
        <v>27</v>
      </c>
      <c r="G6">
        <f>VLOOKUP(F6,选手工资!$A:$E,5,FALSE)</f>
        <v>1.5</v>
      </c>
      <c r="H6" t="s">
        <v>159</v>
      </c>
      <c r="I6">
        <v>4</v>
      </c>
      <c r="J6">
        <v>16</v>
      </c>
      <c r="K6">
        <v>7</v>
      </c>
      <c r="L6">
        <v>11</v>
      </c>
      <c r="M6">
        <v>23</v>
      </c>
      <c r="N6" s="2">
        <v>0.6</v>
      </c>
      <c r="O6" s="2">
        <v>0.107</v>
      </c>
      <c r="P6">
        <v>10335</v>
      </c>
      <c r="Q6">
        <v>91</v>
      </c>
      <c r="R6">
        <v>3</v>
      </c>
      <c r="S6">
        <v>392</v>
      </c>
      <c r="T6">
        <v>442</v>
      </c>
      <c r="U6">
        <v>3</v>
      </c>
      <c r="V6">
        <v>2012</v>
      </c>
      <c r="W6">
        <v>0</v>
      </c>
      <c r="X6">
        <v>14156</v>
      </c>
      <c r="Y6">
        <v>1040</v>
      </c>
      <c r="Z6">
        <v>24346</v>
      </c>
      <c r="AA6" s="2">
        <v>0.354</v>
      </c>
      <c r="AB6">
        <v>1284</v>
      </c>
      <c r="AC6" s="3">
        <v>0.214583333333333</v>
      </c>
      <c r="AD6">
        <v>1</v>
      </c>
      <c r="AE6">
        <v>1945</v>
      </c>
      <c r="AF6">
        <v>6</v>
      </c>
      <c r="AG6">
        <v>550</v>
      </c>
      <c r="AH6">
        <v>0</v>
      </c>
      <c r="AI6">
        <v>7</v>
      </c>
    </row>
    <row r="7" spans="1:35">
      <c r="A7">
        <v>260510</v>
      </c>
      <c r="B7">
        <v>2</v>
      </c>
      <c r="C7" t="s">
        <v>65</v>
      </c>
      <c r="D7" t="s">
        <v>73</v>
      </c>
      <c r="E7">
        <v>30</v>
      </c>
      <c r="F7" t="s">
        <v>9</v>
      </c>
      <c r="G7">
        <f>VLOOKUP(F7,选手工资!$A:$E,5,FALSE)</f>
        <v>8.5</v>
      </c>
      <c r="H7" t="s">
        <v>92</v>
      </c>
      <c r="I7">
        <v>2</v>
      </c>
      <c r="J7">
        <v>17</v>
      </c>
      <c r="K7">
        <v>6</v>
      </c>
      <c r="L7">
        <v>9</v>
      </c>
      <c r="M7">
        <v>4</v>
      </c>
      <c r="N7" s="2">
        <v>0.333</v>
      </c>
      <c r="O7" s="2">
        <v>0.202</v>
      </c>
      <c r="P7">
        <v>12129</v>
      </c>
      <c r="Q7">
        <v>195</v>
      </c>
      <c r="R7">
        <v>10</v>
      </c>
      <c r="S7">
        <v>434</v>
      </c>
      <c r="T7">
        <v>463</v>
      </c>
      <c r="U7">
        <v>4</v>
      </c>
      <c r="V7">
        <v>0</v>
      </c>
      <c r="W7">
        <v>0</v>
      </c>
      <c r="X7">
        <v>21707</v>
      </c>
      <c r="Y7">
        <v>8</v>
      </c>
      <c r="Z7">
        <v>58466</v>
      </c>
      <c r="AA7" s="2">
        <v>0.557</v>
      </c>
      <c r="AB7">
        <v>1607</v>
      </c>
      <c r="AC7" s="3">
        <v>0.293055555555556</v>
      </c>
      <c r="AD7">
        <v>10</v>
      </c>
      <c r="AE7">
        <v>4905</v>
      </c>
      <c r="AF7">
        <v>9</v>
      </c>
      <c r="AG7">
        <v>0</v>
      </c>
      <c r="AH7">
        <v>0</v>
      </c>
      <c r="AI7">
        <v>0</v>
      </c>
    </row>
    <row r="8" spans="1:35">
      <c r="A8">
        <v>260510</v>
      </c>
      <c r="B8">
        <v>2</v>
      </c>
      <c r="C8" t="s">
        <v>65</v>
      </c>
      <c r="D8" t="s">
        <v>73</v>
      </c>
      <c r="E8">
        <v>30</v>
      </c>
      <c r="F8" t="s">
        <v>31</v>
      </c>
      <c r="G8">
        <f>VLOOKUP(F8,选手工资!$A:$E,5,FALSE)</f>
        <v>2.5</v>
      </c>
      <c r="H8" t="s">
        <v>93</v>
      </c>
      <c r="I8">
        <v>3</v>
      </c>
      <c r="J8">
        <v>17</v>
      </c>
      <c r="K8">
        <v>5</v>
      </c>
      <c r="L8">
        <v>11</v>
      </c>
      <c r="M8">
        <v>9</v>
      </c>
      <c r="N8" s="2">
        <v>0.467</v>
      </c>
      <c r="O8" s="2">
        <v>0.219</v>
      </c>
      <c r="P8">
        <v>9788</v>
      </c>
      <c r="Q8">
        <v>136</v>
      </c>
      <c r="R8">
        <v>6</v>
      </c>
      <c r="S8">
        <v>353</v>
      </c>
      <c r="T8">
        <v>477</v>
      </c>
      <c r="U8">
        <v>0</v>
      </c>
      <c r="V8">
        <v>0</v>
      </c>
      <c r="W8">
        <v>0</v>
      </c>
      <c r="X8">
        <v>23500</v>
      </c>
      <c r="Y8">
        <v>394</v>
      </c>
      <c r="Z8">
        <v>99006</v>
      </c>
      <c r="AA8" s="2">
        <v>0.662</v>
      </c>
      <c r="AB8">
        <v>1609</v>
      </c>
      <c r="AC8" s="3">
        <v>0.300694444444444</v>
      </c>
      <c r="AD8">
        <v>8</v>
      </c>
      <c r="AE8">
        <v>3650</v>
      </c>
      <c r="AF8">
        <v>7</v>
      </c>
      <c r="AG8">
        <v>160</v>
      </c>
      <c r="AH8">
        <v>1</v>
      </c>
      <c r="AI8">
        <v>0</v>
      </c>
    </row>
    <row r="9" spans="1:35">
      <c r="A9">
        <v>260510</v>
      </c>
      <c r="B9">
        <v>2</v>
      </c>
      <c r="C9" t="s">
        <v>65</v>
      </c>
      <c r="D9" t="s">
        <v>73</v>
      </c>
      <c r="E9">
        <v>30</v>
      </c>
      <c r="F9" t="s">
        <v>25</v>
      </c>
      <c r="G9">
        <f>VLOOKUP(F9,选手工资!$A:$E,5,FALSE)</f>
        <v>3.5</v>
      </c>
      <c r="H9" t="s">
        <v>160</v>
      </c>
      <c r="I9">
        <v>5</v>
      </c>
      <c r="J9">
        <v>13</v>
      </c>
      <c r="K9">
        <v>4</v>
      </c>
      <c r="L9">
        <v>12</v>
      </c>
      <c r="M9">
        <v>11</v>
      </c>
      <c r="N9" s="2">
        <v>0.5</v>
      </c>
      <c r="O9" s="2">
        <v>0.162</v>
      </c>
      <c r="P9">
        <v>4634</v>
      </c>
      <c r="Q9">
        <v>26</v>
      </c>
      <c r="R9">
        <v>8</v>
      </c>
      <c r="S9">
        <v>241</v>
      </c>
      <c r="T9">
        <v>304</v>
      </c>
      <c r="U9">
        <v>1</v>
      </c>
      <c r="V9">
        <v>125</v>
      </c>
      <c r="W9">
        <v>0</v>
      </c>
      <c r="X9">
        <v>17385</v>
      </c>
      <c r="Y9">
        <v>0</v>
      </c>
      <c r="Z9">
        <v>26102</v>
      </c>
      <c r="AA9" s="2">
        <v>0.374</v>
      </c>
      <c r="AB9">
        <v>929</v>
      </c>
      <c r="AC9" s="3">
        <v>0.336111111111111</v>
      </c>
      <c r="AD9">
        <v>3</v>
      </c>
      <c r="AE9">
        <v>2387</v>
      </c>
      <c r="AF9">
        <v>7</v>
      </c>
      <c r="AG9">
        <v>1060</v>
      </c>
      <c r="AH9">
        <v>4</v>
      </c>
      <c r="AI9">
        <v>4</v>
      </c>
    </row>
    <row r="10" spans="1:35">
      <c r="A10">
        <v>260510</v>
      </c>
      <c r="B10">
        <v>2</v>
      </c>
      <c r="C10" t="s">
        <v>65</v>
      </c>
      <c r="D10" t="s">
        <v>73</v>
      </c>
      <c r="E10">
        <v>30</v>
      </c>
      <c r="F10" t="s">
        <v>12</v>
      </c>
      <c r="G10">
        <f>VLOOKUP(F10,选手工资!$A:$E,5,FALSE)</f>
        <v>5.5</v>
      </c>
      <c r="H10" t="s">
        <v>94</v>
      </c>
      <c r="I10">
        <v>1</v>
      </c>
      <c r="J10">
        <v>22</v>
      </c>
      <c r="K10">
        <v>15</v>
      </c>
      <c r="L10">
        <v>6</v>
      </c>
      <c r="M10">
        <v>7</v>
      </c>
      <c r="N10" s="2">
        <v>0.733</v>
      </c>
      <c r="O10" s="2">
        <v>0.336</v>
      </c>
      <c r="P10">
        <v>18449</v>
      </c>
      <c r="Q10">
        <v>238</v>
      </c>
      <c r="R10">
        <v>10</v>
      </c>
      <c r="S10">
        <v>597</v>
      </c>
      <c r="T10">
        <v>764</v>
      </c>
      <c r="U10">
        <v>0</v>
      </c>
      <c r="V10">
        <v>0</v>
      </c>
      <c r="W10">
        <v>0</v>
      </c>
      <c r="X10">
        <v>36109</v>
      </c>
      <c r="Y10">
        <v>1052</v>
      </c>
      <c r="Z10">
        <v>69733</v>
      </c>
      <c r="AA10" s="2">
        <v>0.533</v>
      </c>
      <c r="AB10">
        <v>1646</v>
      </c>
      <c r="AC10" s="3">
        <v>0.188888888888889</v>
      </c>
      <c r="AD10">
        <v>7</v>
      </c>
      <c r="AE10">
        <v>3689</v>
      </c>
      <c r="AF10">
        <v>6</v>
      </c>
      <c r="AG10">
        <v>0</v>
      </c>
      <c r="AH10">
        <v>0</v>
      </c>
      <c r="AI10">
        <v>1</v>
      </c>
    </row>
    <row r="11" spans="1:35">
      <c r="A11">
        <v>260510</v>
      </c>
      <c r="B11">
        <v>2</v>
      </c>
      <c r="C11" t="s">
        <v>65</v>
      </c>
      <c r="D11" t="s">
        <v>73</v>
      </c>
      <c r="E11">
        <v>30</v>
      </c>
      <c r="F11" t="s">
        <v>26</v>
      </c>
      <c r="G11">
        <f>VLOOKUP(F11,选手工资!$A:$E,5,FALSE)</f>
        <v>5</v>
      </c>
      <c r="H11" t="s">
        <v>161</v>
      </c>
      <c r="I11">
        <v>4</v>
      </c>
      <c r="J11">
        <v>12</v>
      </c>
      <c r="K11">
        <v>0</v>
      </c>
      <c r="L11">
        <v>13</v>
      </c>
      <c r="M11">
        <v>11</v>
      </c>
      <c r="N11" s="2">
        <v>0.367</v>
      </c>
      <c r="O11" s="2">
        <v>0.082</v>
      </c>
      <c r="P11">
        <v>5572</v>
      </c>
      <c r="Q11">
        <v>17</v>
      </c>
      <c r="R11">
        <v>1</v>
      </c>
      <c r="S11">
        <v>198</v>
      </c>
      <c r="T11">
        <v>252</v>
      </c>
      <c r="U11">
        <v>0</v>
      </c>
      <c r="V11">
        <v>480</v>
      </c>
      <c r="W11">
        <v>0</v>
      </c>
      <c r="X11">
        <v>8843</v>
      </c>
      <c r="Y11">
        <v>0</v>
      </c>
      <c r="Z11">
        <v>46053</v>
      </c>
      <c r="AA11" s="2">
        <v>0.476</v>
      </c>
      <c r="AB11">
        <v>666</v>
      </c>
      <c r="AC11" s="3">
        <v>0.304166666666667</v>
      </c>
      <c r="AD11">
        <v>4</v>
      </c>
      <c r="AE11">
        <v>1601</v>
      </c>
      <c r="AF11">
        <v>5</v>
      </c>
      <c r="AG11">
        <v>810</v>
      </c>
      <c r="AH11">
        <v>2</v>
      </c>
      <c r="AI11">
        <v>2</v>
      </c>
    </row>
    <row r="14" spans="1:35">
      <c r="A14" s="1" t="s">
        <v>79</v>
      </c>
      <c r="B14" s="4">
        <v>8805597116</v>
      </c>
      <c r="C14" s="4"/>
    </row>
    <row r="15" spans="1:35">
      <c r="A15" s="1" t="s">
        <v>80</v>
      </c>
      <c r="B15" s="5" t="s">
        <v>162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pane xSplit="8" ySplit="1" topLeftCell="AD2" activePane="bottomRight" state="frozen"/>
      <selection/>
      <selection pane="topRight"/>
      <selection pane="bottomLeft"/>
      <selection pane="bottomRight" activeCell="AM12" sqref="AM12"/>
    </sheetView>
  </sheetViews>
  <sheetFormatPr defaultColWidth="9.23076923076923" defaultRowHeight="16.8"/>
  <cols>
    <col min="6" max="6" width="21.3076923076923" customWidth="1"/>
    <col min="7" max="7" width="10.3076923076923" customWidth="1"/>
    <col min="9" max="9" width="12.9230769230769"/>
    <col min="32" max="32" width="12.5384615384615" customWidth="1"/>
    <col min="33" max="33" width="15.1538461538462" customWidth="1"/>
  </cols>
  <sheetData>
    <row r="1" spans="1: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5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89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s="1" t="s">
        <v>62</v>
      </c>
      <c r="AH1" s="1" t="s">
        <v>63</v>
      </c>
      <c r="AI1" s="1" t="s">
        <v>64</v>
      </c>
    </row>
    <row r="2" spans="1:35">
      <c r="A2">
        <v>260510</v>
      </c>
      <c r="B2">
        <v>3</v>
      </c>
      <c r="C2" t="s">
        <v>72</v>
      </c>
      <c r="D2" t="s">
        <v>73</v>
      </c>
      <c r="E2">
        <v>16</v>
      </c>
      <c r="F2" t="s">
        <v>12</v>
      </c>
      <c r="G2">
        <f>VLOOKUP(F2,选手工资!$A:$E,5,FALSE)</f>
        <v>5.5</v>
      </c>
      <c r="H2" t="s">
        <v>122</v>
      </c>
      <c r="I2">
        <v>5</v>
      </c>
      <c r="J2">
        <v>18</v>
      </c>
      <c r="K2">
        <v>0</v>
      </c>
      <c r="L2">
        <v>2</v>
      </c>
      <c r="M2">
        <v>4</v>
      </c>
      <c r="N2" s="2">
        <v>0.25</v>
      </c>
      <c r="O2" s="2">
        <v>0.061</v>
      </c>
      <c r="P2">
        <v>3894</v>
      </c>
      <c r="Q2">
        <v>261</v>
      </c>
      <c r="R2">
        <v>2</v>
      </c>
      <c r="S2">
        <v>482</v>
      </c>
      <c r="T2">
        <v>537</v>
      </c>
      <c r="U2">
        <v>4</v>
      </c>
      <c r="V2">
        <v>0</v>
      </c>
      <c r="W2">
        <v>0</v>
      </c>
      <c r="X2">
        <v>3890</v>
      </c>
      <c r="Y2">
        <v>0</v>
      </c>
      <c r="Z2">
        <v>10688</v>
      </c>
      <c r="AA2" s="2">
        <v>0.411</v>
      </c>
      <c r="AB2">
        <v>106</v>
      </c>
      <c r="AC2" s="3">
        <v>0.0729166666666667</v>
      </c>
      <c r="AD2">
        <v>2</v>
      </c>
      <c r="AE2">
        <v>3212</v>
      </c>
      <c r="AF2">
        <v>9</v>
      </c>
      <c r="AG2">
        <v>430</v>
      </c>
      <c r="AH2">
        <v>2</v>
      </c>
      <c r="AI2">
        <v>3</v>
      </c>
    </row>
    <row r="3" spans="1:35">
      <c r="A3">
        <v>260510</v>
      </c>
      <c r="B3">
        <v>3</v>
      </c>
      <c r="C3" t="s">
        <v>72</v>
      </c>
      <c r="D3" t="s">
        <v>73</v>
      </c>
      <c r="E3">
        <v>16</v>
      </c>
      <c r="F3" t="s">
        <v>6</v>
      </c>
      <c r="G3">
        <f>VLOOKUP(F3,选手工资!$A:$E,5,FALSE)</f>
        <v>5.5</v>
      </c>
      <c r="H3" t="s">
        <v>163</v>
      </c>
      <c r="I3">
        <v>3</v>
      </c>
      <c r="J3">
        <v>19</v>
      </c>
      <c r="K3">
        <v>1</v>
      </c>
      <c r="L3">
        <v>8</v>
      </c>
      <c r="M3">
        <v>6</v>
      </c>
      <c r="N3" s="2">
        <v>0.438</v>
      </c>
      <c r="O3" s="2">
        <v>0.279</v>
      </c>
      <c r="P3">
        <v>17247</v>
      </c>
      <c r="Q3">
        <v>220</v>
      </c>
      <c r="R3">
        <v>23</v>
      </c>
      <c r="S3">
        <v>446</v>
      </c>
      <c r="T3">
        <v>579</v>
      </c>
      <c r="U3">
        <v>0</v>
      </c>
      <c r="V3">
        <v>0</v>
      </c>
      <c r="W3">
        <v>0</v>
      </c>
      <c r="X3">
        <v>17730</v>
      </c>
      <c r="Y3">
        <v>0</v>
      </c>
      <c r="Z3">
        <v>46615</v>
      </c>
      <c r="AA3" s="2">
        <v>0.578</v>
      </c>
      <c r="AB3">
        <v>1876</v>
      </c>
      <c r="AC3" s="3">
        <v>0.188888888888889</v>
      </c>
      <c r="AD3">
        <v>6</v>
      </c>
      <c r="AE3">
        <v>3221</v>
      </c>
      <c r="AF3">
        <v>7</v>
      </c>
      <c r="AG3">
        <v>950</v>
      </c>
      <c r="AH3">
        <v>0</v>
      </c>
      <c r="AI3">
        <v>6</v>
      </c>
    </row>
    <row r="4" spans="1:35">
      <c r="A4">
        <v>260510</v>
      </c>
      <c r="B4">
        <v>3</v>
      </c>
      <c r="C4" t="s">
        <v>72</v>
      </c>
      <c r="D4" t="s">
        <v>73</v>
      </c>
      <c r="E4">
        <v>16</v>
      </c>
      <c r="F4" t="s">
        <v>15</v>
      </c>
      <c r="G4">
        <f>VLOOKUP(F4,选手工资!$A:$E,5,FALSE)</f>
        <v>8</v>
      </c>
      <c r="H4" t="s">
        <v>164</v>
      </c>
      <c r="I4">
        <v>2</v>
      </c>
      <c r="J4">
        <v>18</v>
      </c>
      <c r="K4">
        <v>10</v>
      </c>
      <c r="L4">
        <v>7</v>
      </c>
      <c r="M4">
        <v>3</v>
      </c>
      <c r="N4" s="2">
        <v>0.813</v>
      </c>
      <c r="O4" s="2">
        <v>0.312</v>
      </c>
      <c r="P4">
        <v>18670</v>
      </c>
      <c r="Q4">
        <v>197</v>
      </c>
      <c r="R4">
        <v>28</v>
      </c>
      <c r="S4">
        <v>482</v>
      </c>
      <c r="T4">
        <v>508</v>
      </c>
      <c r="U4">
        <v>2</v>
      </c>
      <c r="V4">
        <v>0</v>
      </c>
      <c r="W4">
        <v>0</v>
      </c>
      <c r="X4">
        <v>19809</v>
      </c>
      <c r="Y4">
        <v>1802</v>
      </c>
      <c r="Z4">
        <v>44404</v>
      </c>
      <c r="AA4" s="2">
        <v>0.541</v>
      </c>
      <c r="AB4">
        <v>2663</v>
      </c>
      <c r="AC4" s="3">
        <v>0.219444444444444</v>
      </c>
      <c r="AD4">
        <v>9</v>
      </c>
      <c r="AE4">
        <v>5012</v>
      </c>
      <c r="AF4">
        <v>7</v>
      </c>
      <c r="AG4">
        <v>50</v>
      </c>
      <c r="AH4">
        <v>0</v>
      </c>
      <c r="AI4">
        <v>0</v>
      </c>
    </row>
    <row r="5" spans="1:35">
      <c r="A5">
        <v>260510</v>
      </c>
      <c r="B5">
        <v>3</v>
      </c>
      <c r="C5" t="s">
        <v>72</v>
      </c>
      <c r="D5" t="s">
        <v>73</v>
      </c>
      <c r="E5">
        <v>16</v>
      </c>
      <c r="F5" t="s">
        <v>27</v>
      </c>
      <c r="G5">
        <f>VLOOKUP(F5,选手工资!$A:$E,5,FALSE)</f>
        <v>1.5</v>
      </c>
      <c r="H5" t="s">
        <v>165</v>
      </c>
      <c r="I5">
        <v>1</v>
      </c>
      <c r="J5">
        <v>19</v>
      </c>
      <c r="K5">
        <v>2</v>
      </c>
      <c r="L5">
        <v>5</v>
      </c>
      <c r="M5">
        <v>4</v>
      </c>
      <c r="N5" s="2">
        <v>0.375</v>
      </c>
      <c r="O5" s="2">
        <v>0.16</v>
      </c>
      <c r="P5">
        <v>19641</v>
      </c>
      <c r="Q5">
        <v>292</v>
      </c>
      <c r="R5">
        <v>8</v>
      </c>
      <c r="S5">
        <v>467</v>
      </c>
      <c r="T5">
        <v>555</v>
      </c>
      <c r="U5">
        <v>0</v>
      </c>
      <c r="V5">
        <v>0</v>
      </c>
      <c r="W5">
        <v>0</v>
      </c>
      <c r="X5">
        <v>10154</v>
      </c>
      <c r="Y5">
        <v>1418</v>
      </c>
      <c r="Z5">
        <v>25800</v>
      </c>
      <c r="AA5" s="2">
        <v>0.456</v>
      </c>
      <c r="AB5">
        <v>844</v>
      </c>
      <c r="AC5" s="3">
        <v>0.138194444444444</v>
      </c>
      <c r="AD5">
        <v>1</v>
      </c>
      <c r="AE5">
        <v>3643</v>
      </c>
      <c r="AF5">
        <v>6</v>
      </c>
      <c r="AG5">
        <v>0</v>
      </c>
      <c r="AH5">
        <v>1</v>
      </c>
      <c r="AI5">
        <v>0</v>
      </c>
    </row>
    <row r="6" spans="1:35">
      <c r="A6">
        <v>260510</v>
      </c>
      <c r="B6">
        <v>3</v>
      </c>
      <c r="C6" t="s">
        <v>72</v>
      </c>
      <c r="D6" t="s">
        <v>73</v>
      </c>
      <c r="E6">
        <v>16</v>
      </c>
      <c r="F6" t="s">
        <v>30</v>
      </c>
      <c r="G6">
        <f>VLOOKUP(F6,选手工资!$A:$E,5,FALSE)</f>
        <v>2</v>
      </c>
      <c r="H6" t="s">
        <v>166</v>
      </c>
      <c r="I6">
        <v>4</v>
      </c>
      <c r="J6">
        <v>15</v>
      </c>
      <c r="K6">
        <v>3</v>
      </c>
      <c r="L6">
        <v>9</v>
      </c>
      <c r="M6">
        <v>3</v>
      </c>
      <c r="N6" s="2">
        <v>0.375</v>
      </c>
      <c r="O6" s="2">
        <v>0.188</v>
      </c>
      <c r="P6">
        <v>8052</v>
      </c>
      <c r="Q6">
        <v>72</v>
      </c>
      <c r="R6">
        <v>4</v>
      </c>
      <c r="S6">
        <v>242</v>
      </c>
      <c r="T6">
        <v>351</v>
      </c>
      <c r="U6">
        <v>2</v>
      </c>
      <c r="V6">
        <v>2828</v>
      </c>
      <c r="W6">
        <v>0</v>
      </c>
      <c r="X6">
        <v>11978</v>
      </c>
      <c r="Y6">
        <v>42</v>
      </c>
      <c r="Z6">
        <v>25713</v>
      </c>
      <c r="AA6" s="2">
        <v>0.467</v>
      </c>
      <c r="AB6">
        <v>716</v>
      </c>
      <c r="AC6" s="3">
        <v>0.214583333333333</v>
      </c>
      <c r="AD6">
        <v>5</v>
      </c>
      <c r="AE6">
        <v>2191</v>
      </c>
      <c r="AF6">
        <v>5</v>
      </c>
      <c r="AG6">
        <v>250</v>
      </c>
      <c r="AH6">
        <v>6</v>
      </c>
      <c r="AI6">
        <v>6</v>
      </c>
    </row>
    <row r="7" spans="1:35">
      <c r="A7">
        <v>260510</v>
      </c>
      <c r="B7">
        <v>3</v>
      </c>
      <c r="C7" t="s">
        <v>65</v>
      </c>
      <c r="D7" t="s">
        <v>66</v>
      </c>
      <c r="E7">
        <v>31</v>
      </c>
      <c r="F7" t="s">
        <v>16</v>
      </c>
      <c r="G7">
        <f>VLOOKUP(F7,选手工资!$A:$E,5,FALSE)</f>
        <v>5</v>
      </c>
      <c r="H7" t="s">
        <v>91</v>
      </c>
      <c r="I7">
        <v>2</v>
      </c>
      <c r="J7">
        <v>20</v>
      </c>
      <c r="K7">
        <v>5</v>
      </c>
      <c r="L7">
        <v>4</v>
      </c>
      <c r="M7">
        <v>10</v>
      </c>
      <c r="N7" s="2">
        <v>0.484</v>
      </c>
      <c r="O7" s="2">
        <v>0.227</v>
      </c>
      <c r="P7">
        <v>17401</v>
      </c>
      <c r="Q7">
        <v>222</v>
      </c>
      <c r="R7">
        <v>1</v>
      </c>
      <c r="S7">
        <v>502</v>
      </c>
      <c r="T7">
        <v>638</v>
      </c>
      <c r="U7">
        <v>3</v>
      </c>
      <c r="V7">
        <v>0</v>
      </c>
      <c r="W7">
        <v>0</v>
      </c>
      <c r="X7">
        <v>16827</v>
      </c>
      <c r="Y7">
        <v>5214</v>
      </c>
      <c r="Z7">
        <v>20622</v>
      </c>
      <c r="AA7" s="2">
        <v>0.43</v>
      </c>
      <c r="AB7">
        <v>630</v>
      </c>
      <c r="AC7" s="3">
        <v>0.0993055555555555</v>
      </c>
      <c r="AD7">
        <v>10</v>
      </c>
      <c r="AE7">
        <v>3218</v>
      </c>
      <c r="AF7">
        <v>7</v>
      </c>
      <c r="AG7">
        <v>0</v>
      </c>
      <c r="AH7">
        <v>5</v>
      </c>
      <c r="AI7">
        <v>0</v>
      </c>
    </row>
    <row r="8" spans="1:35">
      <c r="A8">
        <v>260510</v>
      </c>
      <c r="B8">
        <v>3</v>
      </c>
      <c r="C8" t="s">
        <v>65</v>
      </c>
      <c r="D8" t="s">
        <v>66</v>
      </c>
      <c r="E8">
        <v>31</v>
      </c>
      <c r="F8" t="s">
        <v>19</v>
      </c>
      <c r="G8">
        <f>VLOOKUP(F8,选手工资!$A:$E,5,FALSE)</f>
        <v>5.5</v>
      </c>
      <c r="H8" t="s">
        <v>167</v>
      </c>
      <c r="I8">
        <v>1</v>
      </c>
      <c r="J8">
        <v>24</v>
      </c>
      <c r="K8">
        <v>16</v>
      </c>
      <c r="L8">
        <v>2</v>
      </c>
      <c r="M8">
        <v>5</v>
      </c>
      <c r="N8" s="2">
        <v>0.677</v>
      </c>
      <c r="O8" s="2">
        <v>0.403</v>
      </c>
      <c r="P8">
        <v>28152</v>
      </c>
      <c r="Q8">
        <v>364</v>
      </c>
      <c r="R8">
        <v>14</v>
      </c>
      <c r="S8">
        <v>811</v>
      </c>
      <c r="T8">
        <v>924</v>
      </c>
      <c r="U8">
        <v>1</v>
      </c>
      <c r="V8">
        <v>0</v>
      </c>
      <c r="W8">
        <v>0</v>
      </c>
      <c r="X8">
        <v>29872</v>
      </c>
      <c r="Y8">
        <v>15719</v>
      </c>
      <c r="Z8">
        <v>29130</v>
      </c>
      <c r="AA8" s="2">
        <v>0.569</v>
      </c>
      <c r="AB8">
        <v>654</v>
      </c>
      <c r="AC8" s="3">
        <v>0.0784722222222222</v>
      </c>
      <c r="AD8">
        <v>7</v>
      </c>
      <c r="AE8">
        <v>5210</v>
      </c>
      <c r="AF8">
        <v>8</v>
      </c>
      <c r="AG8">
        <v>0</v>
      </c>
      <c r="AH8">
        <v>1</v>
      </c>
      <c r="AI8">
        <v>0</v>
      </c>
    </row>
    <row r="9" spans="1:35">
      <c r="A9">
        <v>260510</v>
      </c>
      <c r="B9">
        <v>3</v>
      </c>
      <c r="C9" t="s">
        <v>65</v>
      </c>
      <c r="D9" t="s">
        <v>66</v>
      </c>
      <c r="E9">
        <v>31</v>
      </c>
      <c r="F9" t="s">
        <v>21</v>
      </c>
      <c r="G9">
        <f>VLOOKUP(F9,选手工资!$A:$E,5,FALSE)</f>
        <v>3</v>
      </c>
      <c r="H9" t="s">
        <v>168</v>
      </c>
      <c r="I9">
        <v>3</v>
      </c>
      <c r="J9">
        <v>20</v>
      </c>
      <c r="K9">
        <v>6</v>
      </c>
      <c r="L9">
        <v>3</v>
      </c>
      <c r="M9">
        <v>15</v>
      </c>
      <c r="N9" s="2">
        <v>0.677</v>
      </c>
      <c r="O9" s="2">
        <v>0.169</v>
      </c>
      <c r="P9">
        <v>18446</v>
      </c>
      <c r="Q9">
        <v>196</v>
      </c>
      <c r="R9">
        <v>7</v>
      </c>
      <c r="S9">
        <v>528</v>
      </c>
      <c r="T9">
        <v>639</v>
      </c>
      <c r="U9">
        <v>4</v>
      </c>
      <c r="V9">
        <v>0</v>
      </c>
      <c r="W9">
        <v>0</v>
      </c>
      <c r="X9">
        <v>12500</v>
      </c>
      <c r="Y9">
        <v>4207</v>
      </c>
      <c r="Z9">
        <v>26974</v>
      </c>
      <c r="AA9" s="2">
        <v>0.37</v>
      </c>
      <c r="AB9">
        <v>409</v>
      </c>
      <c r="AC9" s="3">
        <v>0.0659722222222222</v>
      </c>
      <c r="AD9">
        <v>8</v>
      </c>
      <c r="AE9">
        <v>4368</v>
      </c>
      <c r="AF9">
        <v>6</v>
      </c>
      <c r="AG9">
        <v>0</v>
      </c>
      <c r="AH9">
        <v>0</v>
      </c>
      <c r="AI9">
        <v>0</v>
      </c>
    </row>
    <row r="10" spans="1:35">
      <c r="A10">
        <v>260510</v>
      </c>
      <c r="B10">
        <v>3</v>
      </c>
      <c r="C10" t="s">
        <v>65</v>
      </c>
      <c r="D10" t="s">
        <v>66</v>
      </c>
      <c r="E10">
        <v>31</v>
      </c>
      <c r="F10" t="s">
        <v>24</v>
      </c>
      <c r="G10">
        <f>VLOOKUP(F10,选手工资!$A:$E,5,FALSE)</f>
        <v>4.5</v>
      </c>
      <c r="H10" t="s">
        <v>127</v>
      </c>
      <c r="I10">
        <v>5</v>
      </c>
      <c r="J10">
        <v>19</v>
      </c>
      <c r="K10">
        <v>1</v>
      </c>
      <c r="L10">
        <v>2</v>
      </c>
      <c r="M10">
        <v>23</v>
      </c>
      <c r="N10" s="2">
        <v>0.774</v>
      </c>
      <c r="O10" s="2">
        <v>0.104</v>
      </c>
      <c r="P10">
        <v>11120</v>
      </c>
      <c r="Q10">
        <v>97</v>
      </c>
      <c r="R10">
        <v>0</v>
      </c>
      <c r="S10">
        <v>351</v>
      </c>
      <c r="T10">
        <v>552</v>
      </c>
      <c r="U10">
        <v>1</v>
      </c>
      <c r="V10">
        <v>14920</v>
      </c>
      <c r="W10">
        <v>0</v>
      </c>
      <c r="X10">
        <v>7690</v>
      </c>
      <c r="Y10">
        <v>412</v>
      </c>
      <c r="Z10">
        <v>19687</v>
      </c>
      <c r="AA10" s="2">
        <v>0.446</v>
      </c>
      <c r="AB10">
        <v>275</v>
      </c>
      <c r="AC10" s="3">
        <v>0.00277777777777778</v>
      </c>
      <c r="AD10">
        <v>3</v>
      </c>
      <c r="AE10">
        <v>2593</v>
      </c>
      <c r="AF10">
        <v>6</v>
      </c>
      <c r="AG10">
        <v>1150</v>
      </c>
      <c r="AH10">
        <v>1</v>
      </c>
      <c r="AI10">
        <v>2</v>
      </c>
    </row>
    <row r="11" spans="1:35">
      <c r="A11">
        <v>260510</v>
      </c>
      <c r="B11">
        <v>3</v>
      </c>
      <c r="C11" t="s">
        <v>65</v>
      </c>
      <c r="D11" t="s">
        <v>66</v>
      </c>
      <c r="E11">
        <v>31</v>
      </c>
      <c r="F11" t="s">
        <v>26</v>
      </c>
      <c r="G11">
        <f>VLOOKUP(F11,选手工资!$A:$E,5,FALSE)</f>
        <v>5</v>
      </c>
      <c r="H11" t="s">
        <v>169</v>
      </c>
      <c r="I11">
        <v>3</v>
      </c>
      <c r="J11">
        <v>17</v>
      </c>
      <c r="K11">
        <v>3</v>
      </c>
      <c r="L11">
        <v>5</v>
      </c>
      <c r="M11">
        <v>16</v>
      </c>
      <c r="N11" s="2">
        <v>0.613</v>
      </c>
      <c r="O11" s="2">
        <v>0.097</v>
      </c>
      <c r="P11">
        <v>14603</v>
      </c>
      <c r="Q11">
        <v>71</v>
      </c>
      <c r="R11">
        <v>1</v>
      </c>
      <c r="S11">
        <v>386</v>
      </c>
      <c r="T11">
        <v>474</v>
      </c>
      <c r="U11">
        <v>2</v>
      </c>
      <c r="V11">
        <v>12500</v>
      </c>
      <c r="W11">
        <v>0</v>
      </c>
      <c r="X11">
        <v>7167</v>
      </c>
      <c r="Y11">
        <v>360</v>
      </c>
      <c r="Z11">
        <v>15308</v>
      </c>
      <c r="AA11" s="2">
        <v>0.258</v>
      </c>
      <c r="AB11">
        <v>365</v>
      </c>
      <c r="AC11" s="3">
        <v>0.10625</v>
      </c>
      <c r="AD11">
        <v>4</v>
      </c>
      <c r="AE11">
        <v>2013</v>
      </c>
      <c r="AF11">
        <v>5</v>
      </c>
      <c r="AG11">
        <v>500</v>
      </c>
      <c r="AH11">
        <v>5</v>
      </c>
      <c r="AI11">
        <v>1</v>
      </c>
    </row>
    <row r="14" spans="1:35">
      <c r="A14" s="1" t="s">
        <v>79</v>
      </c>
      <c r="B14" s="4">
        <v>8805669010</v>
      </c>
      <c r="C14" s="4"/>
    </row>
    <row r="15" spans="1:35">
      <c r="A15" s="1" t="s">
        <v>80</v>
      </c>
      <c r="B15" s="5" t="s">
        <v>170</v>
      </c>
    </row>
  </sheetData>
  <sortState ref="A2:AI11">
    <sortCondition ref="C2"/>
  </sortState>
  <mergeCells count="1">
    <mergeCell ref="B14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选手工资</vt:lpstr>
      <vt:lpstr>260505-1</vt:lpstr>
      <vt:lpstr>260505-2</vt:lpstr>
      <vt:lpstr>260506-1</vt:lpstr>
      <vt:lpstr>260506-2</vt:lpstr>
      <vt:lpstr>260506-3</vt:lpstr>
      <vt:lpstr>260506-4</vt:lpstr>
      <vt:lpstr>260507-1</vt:lpstr>
      <vt:lpstr>260507-2</vt:lpstr>
      <vt:lpstr>260507-3</vt:lpstr>
      <vt:lpstr>260508-1</vt:lpstr>
      <vt:lpstr>260508-2</vt:lpstr>
      <vt:lpstr>260508-3</vt:lpstr>
      <vt:lpstr>260509-1</vt:lpstr>
      <vt:lpstr>260509-2</vt:lpstr>
      <vt:lpstr>260509-3</vt:lpstr>
      <vt:lpstr>260510-1</vt:lpstr>
      <vt:lpstr>260510-2</vt:lpstr>
      <vt:lpstr>260510-3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</dc:creator>
  <cp:lastModifiedBy>WPS_1670323668</cp:lastModifiedBy>
  <dcterms:created xsi:type="dcterms:W3CDTF">2026-05-08T09:24:00Z</dcterms:created>
  <dcterms:modified xsi:type="dcterms:W3CDTF">2026-05-11T10:13:58Z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DD942E5E56D84D115B98FA690D4CAF68_41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